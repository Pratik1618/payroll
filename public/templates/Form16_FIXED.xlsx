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C:\Users\Admin\Downloads\"/>
    </mc:Choice>
  </mc:AlternateContent>
  <xr:revisionPtr revIDLastSave="0" documentId="13_ncr:1_{3CCF9B58-760F-4C8A-8A7F-09E042EB1A65}" xr6:coauthVersionLast="47" xr6:coauthVersionMax="47" xr10:uidLastSave="{00000000-0000-0000-0000-000000000000}"/>
  <bookViews>
    <workbookView xWindow="-120" yWindow="-120" windowWidth="20730" windowHeight="11760" xr2:uid="{00000000-000D-0000-FFFF-FFFF00000000}"/>
  </bookViews>
  <sheets>
    <sheet name="Sheet1" sheetId="1" r:id="rId1"/>
    <sheet name="__CALC__" sheetId="2" r:id="rId2"/>
    <sheet name="DATA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99" i="1" l="1"/>
  <c r="I100" i="1"/>
  <c r="I135" i="1"/>
  <c r="I128" i="1"/>
  <c r="I118" i="1"/>
  <c r="G112" i="1"/>
  <c r="K112" i="1" s="1"/>
  <c r="L117" i="1" s="1"/>
  <c r="I95" i="1"/>
  <c r="I94" i="1"/>
  <c r="I90" i="1"/>
  <c r="I97" i="1" s="1"/>
  <c r="I101" i="1" s="1"/>
  <c r="I125" i="1" s="1"/>
  <c r="I83" i="1"/>
  <c r="J88" i="1" s="1"/>
  <c r="J94" i="1" s="1"/>
  <c r="L102" i="1" l="1"/>
  <c r="L107" i="1" s="1"/>
  <c r="L129" i="1" s="1"/>
  <c r="I131" i="1"/>
  <c r="I132" i="1" s="1"/>
  <c r="I136" i="1" s="1"/>
  <c r="I112" i="1"/>
</calcChain>
</file>

<file path=xl/sharedStrings.xml><?xml version="1.0" encoding="utf-8"?>
<sst xmlns="http://schemas.openxmlformats.org/spreadsheetml/2006/main" count="196" uniqueCount="160">
  <si>
    <t>FORM NO.16</t>
  </si>
  <si>
    <t>[See rule 31 (1) (a)]</t>
  </si>
  <si>
    <t>Part A</t>
  </si>
  <si>
    <t>Certificate under section 203 of the Income Tax Act, 1961 for tax deducted</t>
  </si>
  <si>
    <t>at source from income chargeable under the head  “ Salaries “</t>
  </si>
  <si>
    <t>Name and address of the employer</t>
  </si>
  <si>
    <t>Name and Designation of the employee</t>
  </si>
  <si>
    <t>I Smart Facitech Private Ltd</t>
  </si>
  <si>
    <t>{{EMP_NAME}}</t>
  </si>
  <si>
    <t>317, 3rd Floor,A/2 , Neelgiri Bldg,</t>
  </si>
  <si>
    <t>{{EMP_DESIGNATION}}</t>
  </si>
  <si>
    <t xml:space="preserve">Wadala Truck Terminal Near Wadala RTO, </t>
  </si>
  <si>
    <t>Mumbai -400037</t>
  </si>
  <si>
    <t>PAN of the Deducter</t>
  </si>
  <si>
    <t>TAN of the Deducter</t>
  </si>
  <si>
    <t>PAN of the Employee</t>
  </si>
  <si>
    <t>AAKCC4528J</t>
  </si>
  <si>
    <t>MUMC28808D</t>
  </si>
  <si>
    <t>{{EMP_PAN}}</t>
  </si>
  <si>
    <t>TDS Circle where annual</t>
  </si>
  <si>
    <t>PERIOD</t>
  </si>
  <si>
    <t>Assessment Year</t>
  </si>
  <si>
    <t>return / statement under</t>
  </si>
  <si>
    <t>FROM</t>
  </si>
  <si>
    <t>TO</t>
  </si>
  <si>
    <t>2026-27</t>
  </si>
  <si>
    <t>section 206 is to be filed</t>
  </si>
  <si>
    <t>Smmary of amount Paid/credited and tax Deducted at source thereon in respect of the Employee</t>
  </si>
  <si>
    <t>Quarter(s)</t>
  </si>
  <si>
    <t>Receipt Numbersof Original Quaterly Statements of TDS Under Sub-Section (3) of Section 200</t>
  </si>
  <si>
    <t>Amount Paid cridited</t>
  </si>
  <si>
    <t xml:space="preserve">      Amount of Tax Deducted     (Rs)</t>
  </si>
  <si>
    <t>Amount of Tax Deposited / Remitted                               (Rs)</t>
  </si>
  <si>
    <t>Quarter 1</t>
  </si>
  <si>
    <t>Quarter 2</t>
  </si>
  <si>
    <t>Quarter 3</t>
  </si>
  <si>
    <t>Quarter 4</t>
  </si>
  <si>
    <t>Total</t>
  </si>
  <si>
    <t>I.DETAILS TAX DEDUCTED AND DEPOSITED INTO CENTRAL GOVERNMENT ACCOUNT THROUGH BOOK ADJUSTMENT</t>
  </si>
  <si>
    <t>S.No</t>
  </si>
  <si>
    <t>Tax Deposited In Respect</t>
  </si>
  <si>
    <t>Book Identification Number (BIN)</t>
  </si>
  <si>
    <t>of the deducter</t>
  </si>
  <si>
    <t>Receipt Numbers of</t>
  </si>
  <si>
    <t>DDO Serial No in</t>
  </si>
  <si>
    <t>Date Of Transfer</t>
  </si>
  <si>
    <t>Status of Maching</t>
  </si>
  <si>
    <t>(Rs)</t>
  </si>
  <si>
    <t>Form No.24G</t>
  </si>
  <si>
    <t>with Form.No 24G</t>
  </si>
  <si>
    <t>(dd/mm/yyyy)</t>
  </si>
  <si>
    <t>Total (Rs)</t>
  </si>
  <si>
    <t>II.DETAILS TAX DEDUCTED AND DEPOSITED INTO CENTRAL GOVERNMENT ACCOUNT THROUGH BOOK CHALLANA</t>
  </si>
  <si>
    <t>Book Identification Number (CIN)</t>
  </si>
  <si>
    <t xml:space="preserve">BRS Code of  the </t>
  </si>
  <si>
    <t>Date on Which</t>
  </si>
  <si>
    <t>Challana Serial</t>
  </si>
  <si>
    <t>Bank Branch</t>
  </si>
  <si>
    <t>Tax Deposited</t>
  </si>
  <si>
    <t>Number</t>
  </si>
  <si>
    <t>Verification</t>
  </si>
  <si>
    <t>I,</t>
  </si>
  <si>
    <t>Sheshmani Yadav</t>
  </si>
  <si>
    <t xml:space="preserve">Son/Doughter of </t>
  </si>
  <si>
    <t>Jokhanram</t>
  </si>
  <si>
    <t xml:space="preserve">  Working In the Capacity Of</t>
  </si>
  <si>
    <t xml:space="preserve">Manager - Accounts </t>
  </si>
  <si>
    <t>do hereby certify that a sum  of Rs.</t>
  </si>
  <si>
    <t>(in words)</t>
  </si>
  <si>
    <t>has beeen deducted at source and paid to the credit of the Central Government.</t>
  </si>
  <si>
    <t xml:space="preserve"> I further certify that the information given  above is true and correct based on the book of accounts, documents and TDS Statements, TDS Deposited and other available records.</t>
  </si>
  <si>
    <t>Notes :</t>
  </si>
  <si>
    <t>1.  Government deductors to fill information in item I if tax is paid without production of an income-tax challan and in item II if tax .</t>
  </si>
  <si>
    <t xml:space="preserve">        is paid accompanied by an income-tax challan</t>
  </si>
  <si>
    <t>2.  Non-Government deductors to fill information in item II.</t>
  </si>
  <si>
    <t xml:space="preserve">3.  The deductor shall furnish the address of  the Commissioner of  Income-tax (TDS) having jurisdiction as regards TDS </t>
  </si>
  <si>
    <t xml:space="preserve">     statements of the assessee.</t>
  </si>
  <si>
    <t>4.  If an assessee is employed under one employer only during the year, certificate in Form No. 16 issued for the quarter ending on</t>
  </si>
  <si>
    <t xml:space="preserve">      31st March of the financial year shall contain the details of tax deducted and deposited for all the quarters of the financial year.</t>
  </si>
  <si>
    <t xml:space="preserve">5.  If  an  assessee  is  employed  under  more  than  one  employer  during  the  year,  each  of  the employers shall issue Part </t>
  </si>
  <si>
    <t xml:space="preserve">      A of the certificate in Form No. 16 pertaining to the period for which such assessee was employed with each of the employers.</t>
  </si>
  <si>
    <t>I83 = Gross Salary</t>
  </si>
  <si>
    <t xml:space="preserve">    Part B (Annexure) of the certificate in Form No.16 may be issued by each of the employers or the last employer at the</t>
  </si>
  <si>
    <t xml:space="preserve">    option of the assessee.</t>
  </si>
  <si>
    <t>6.  In items I and II, in column for tax deposited in respect of deductee, furnish total amount of TDS and education cess."</t>
  </si>
  <si>
    <t>Notes : Part B</t>
  </si>
  <si>
    <t>DETAILS OF SALARY PAID AND ANY OTHER INCOME AND TAX DEDUCTED</t>
  </si>
  <si>
    <t>1. Gross Salary *</t>
  </si>
  <si>
    <t>( a ) Salary as per provisions contained in section 17 (1)</t>
  </si>
  <si>
    <t>( b ) Value of perquisites under section 17 (2)</t>
  </si>
  <si>
    <t xml:space="preserve">        (as per Form No. 12 BA, wherever applicable)</t>
  </si>
  <si>
    <t>( c ) Profits in lieu of Salary under section 17 (3)</t>
  </si>
  <si>
    <t>( d ) Total</t>
  </si>
  <si>
    <t>( e ) Reported total amount of salary received from other employers</t>
  </si>
  <si>
    <t>2. Less : Allowance to the extent exempt under section 10</t>
  </si>
  <si>
    <t>a)</t>
  </si>
  <si>
    <t>b)</t>
  </si>
  <si>
    <t>3. Balance (1-2)</t>
  </si>
  <si>
    <t xml:space="preserve">4. Deductions :          </t>
  </si>
  <si>
    <t>(a) Standard deduction</t>
  </si>
  <si>
    <t>Rs.</t>
  </si>
  <si>
    <t>(b) Entertainment allowance</t>
  </si>
  <si>
    <t>(c) Tax on Employment</t>
  </si>
  <si>
    <t>5. Aggregate of 4 (a to c)</t>
  </si>
  <si>
    <t>6. Income chargeable under the Head ‘Salaries’(3-5)</t>
  </si>
  <si>
    <t>7. Add. : Any other income reported by the employee</t>
  </si>
  <si>
    <t>Less:-  Loss From House Properties</t>
  </si>
  <si>
    <t>8. Gross total income  (6+7)</t>
  </si>
  <si>
    <t xml:space="preserve">9. Deductions Under Chapter VIA    </t>
  </si>
  <si>
    <t>A.</t>
  </si>
  <si>
    <t>Sections 80C,80CC and 80CCD</t>
  </si>
  <si>
    <t>Gross Amount</t>
  </si>
  <si>
    <t>Qualifying Amt.</t>
  </si>
  <si>
    <t>Deductible Amt.</t>
  </si>
  <si>
    <t>Deductible Amt</t>
  </si>
  <si>
    <t>(a)</t>
  </si>
  <si>
    <t>Section 80C</t>
  </si>
  <si>
    <t>(i)</t>
  </si>
  <si>
    <t>Statutory Provident Fund</t>
  </si>
  <si>
    <t>G112 = PF ANNUAL</t>
  </si>
  <si>
    <t>(ii)</t>
  </si>
  <si>
    <t>(iii)</t>
  </si>
  <si>
    <t>(b)</t>
  </si>
  <si>
    <t>Section 80CCC</t>
  </si>
  <si>
    <t>(c)</t>
  </si>
  <si>
    <t>Section 80CCD</t>
  </si>
  <si>
    <t xml:space="preserve">Aggregate amount deductible under the three sections </t>
  </si>
  <si>
    <t>i.e.80C, 80CCC and 80CCD</t>
  </si>
  <si>
    <t>(d)</t>
  </si>
  <si>
    <t>Section 80CCD (1B)</t>
  </si>
  <si>
    <t>B.</t>
  </si>
  <si>
    <t>Other Sections ( e.g. 80E, 80G, 80TTA etc) Under Chapter VIA</t>
  </si>
  <si>
    <t>10. Aggregate of deductible amount under chapter VI-A</t>
  </si>
  <si>
    <t>11. Total Income (8-10 )</t>
  </si>
  <si>
    <t xml:space="preserve">12. Tax on total Income </t>
  </si>
  <si>
    <t>13. Rebate U/S 87a</t>
  </si>
  <si>
    <t>14. Tax Payable on total income (12-13)</t>
  </si>
  <si>
    <t>15.Education &amp; Health Cess 4%</t>
  </si>
  <si>
    <t>16. Tax payable (14+15)</t>
  </si>
  <si>
    <t>17. Relife Under Section 89 (attach details)</t>
  </si>
  <si>
    <t>18. Tax payable (16-17)</t>
  </si>
  <si>
    <t>19.Tax Deducted at source U/S 192</t>
  </si>
  <si>
    <t>20. Tax payable / refundable (17-18)</t>
  </si>
  <si>
    <t xml:space="preserve">do hereby certify that the information given  above is true  correct based on the </t>
  </si>
  <si>
    <t>book of accounts, documents and TDS Statements, TDS Deposited and other available records.</t>
  </si>
  <si>
    <t xml:space="preserve">                                    Signature &amp; Seal of the person responsible</t>
  </si>
  <si>
    <t xml:space="preserve">                                     for deduction of tax</t>
  </si>
  <si>
    <t>Place: Mumbai</t>
  </si>
  <si>
    <t xml:space="preserve">                                          Full Name    : Sheshmani J Yadav</t>
  </si>
  <si>
    <t>Date: 31/10/2025</t>
  </si>
  <si>
    <t>Designation    : Manager - Accounts</t>
  </si>
  <si>
    <t>Field</t>
  </si>
  <si>
    <t>Value</t>
  </si>
  <si>
    <t>Gross Salary</t>
  </si>
  <si>
    <t>Professional Tax</t>
  </si>
  <si>
    <t>PF Annual</t>
  </si>
  <si>
    <t>Other Income</t>
  </si>
  <si>
    <t>Total TDS</t>
  </si>
  <si>
    <t>Tax Calculated</t>
  </si>
  <si>
    <t>G99= PT Annual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</si>
</sst>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43" formatCode="_ * #,##0.00_ ;_ * \-#,##0.00_ ;_ * &quot;-&quot;??_ ;_ @_ "/>
    <numFmt numFmtId="164" formatCode="_(* #,##0_);_(* \(#,##0\);_(* &quot;-&quot;??_);_(@_)"/>
    <numFmt numFmtId="165" formatCode="[$-409]d\-mmm\-yy;@"/>
    <numFmt numFmtId="166" formatCode="_-* #,##0.00_-;\-* #,##0.00_-;_-* &quot;-&quot;??_-;_-@_-"/>
    <numFmt numFmtId="167" formatCode="#,##0;[Red]\(#,##0\)"/>
    <numFmt numFmtId="168" formatCode="0.00_)"/>
    <numFmt numFmtId="169" formatCode="#,##0.00;[Red]\(#,##0.00\)"/>
    <numFmt numFmtId="170" formatCode="#,##0.0_);[Red]\(#,##0.0\)"/>
  </numFmts>
  <fonts count="26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sz val="11"/>
      <color rgb="FF9C5700"/>
      <name val="Aptos Narrow"/>
      <family val="2"/>
      <scheme val="minor"/>
    </font>
    <font>
      <sz val="10"/>
      <name val="Arial"/>
      <family val="2"/>
    </font>
    <font>
      <sz val="10"/>
      <name val="Tahoma"/>
      <family val="2"/>
    </font>
    <font>
      <sz val="8"/>
      <color indexed="8"/>
      <name val="Arial"/>
      <family val="2"/>
    </font>
    <font>
      <b/>
      <sz val="8"/>
      <color indexed="8"/>
      <name val="Arial"/>
      <family val="2"/>
    </font>
    <font>
      <sz val="7"/>
      <name val="Arial"/>
      <family val="2"/>
    </font>
    <font>
      <b/>
      <i/>
      <sz val="16"/>
      <name val="Helv"/>
    </font>
    <font>
      <b/>
      <sz val="8"/>
      <color indexed="9"/>
      <name val="Arial"/>
      <family val="2"/>
    </font>
    <font>
      <sz val="10"/>
      <color indexed="8"/>
      <name val="Arial"/>
      <family val="2"/>
    </font>
    <font>
      <b/>
      <sz val="9"/>
      <color indexed="9"/>
      <name val="Arial"/>
      <family val="2"/>
    </font>
    <font>
      <sz val="8"/>
      <name val="Arial"/>
      <family val="2"/>
    </font>
    <font>
      <b/>
      <sz val="12"/>
      <name val="Arial"/>
      <family val="2"/>
    </font>
    <font>
      <sz val="10"/>
      <name val="Arial"/>
      <family val="2"/>
    </font>
    <font>
      <b/>
      <sz val="10"/>
      <name val="Arial"/>
      <family val="2"/>
    </font>
    <font>
      <b/>
      <sz val="11"/>
      <name val="Arial"/>
      <family val="2"/>
    </font>
    <font>
      <sz val="11"/>
      <name val="Arial"/>
      <family val="2"/>
    </font>
    <font>
      <b/>
      <sz val="14"/>
      <name val="Arial"/>
      <family val="2"/>
    </font>
    <font>
      <b/>
      <i/>
      <sz val="10"/>
      <name val="Arial"/>
      <family val="2"/>
    </font>
    <font>
      <sz val="9"/>
      <name val="Arial"/>
      <family val="2"/>
    </font>
    <font>
      <b/>
      <sz val="9"/>
      <name val="Arial"/>
      <family val="2"/>
    </font>
    <font>
      <b/>
      <sz val="10"/>
      <name val="Time Roman"/>
    </font>
    <font>
      <b/>
      <sz val="11"/>
      <name val="Aptos Narrow"/>
      <family val="2"/>
      <scheme val="minor"/>
    </font>
    <font>
      <sz val="11"/>
      <name val="Aptos Narrow"/>
      <family val="2"/>
      <scheme val="minor"/>
    </font>
  </fonts>
  <fills count="18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rgb="FFFFFFCC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42"/>
        <bgColor indexed="64"/>
      </patternFill>
    </fill>
    <fill>
      <patternFill patternType="solid">
        <fgColor indexed="11"/>
        <bgColor indexed="64"/>
      </patternFill>
    </fill>
    <fill>
      <patternFill patternType="solid">
        <fgColor indexed="8"/>
        <bgColor indexed="64"/>
      </patternFill>
    </fill>
    <fill>
      <patternFill patternType="solid">
        <fgColor indexed="8"/>
      </patternFill>
    </fill>
    <fill>
      <patternFill patternType="solid">
        <fgColor indexed="26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79998168889431442"/>
        <bgColor indexed="64"/>
      </patternFill>
    </fill>
  </fills>
  <borders count="22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hair">
        <color indexed="64"/>
      </right>
      <top style="thin">
        <color indexed="64"/>
      </top>
      <bottom/>
      <diagonal/>
    </border>
    <border>
      <left/>
      <right style="hair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 style="hair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/>
      <bottom style="hair">
        <color indexed="64"/>
      </bottom>
      <diagonal/>
    </border>
  </borders>
  <cellStyleXfs count="36">
    <xf numFmtId="0" fontId="0" fillId="0" borderId="0"/>
    <xf numFmtId="0" fontId="4" fillId="0" borderId="0"/>
    <xf numFmtId="0" fontId="1" fillId="4" borderId="0"/>
    <xf numFmtId="0" fontId="1" fillId="5" borderId="0"/>
    <xf numFmtId="0" fontId="1" fillId="6" borderId="0"/>
    <xf numFmtId="0" fontId="1" fillId="7" borderId="0"/>
    <xf numFmtId="0" fontId="1" fillId="8" borderId="0"/>
    <xf numFmtId="0" fontId="1" fillId="9" borderId="0"/>
    <xf numFmtId="166" fontId="4" fillId="0" borderId="0"/>
    <xf numFmtId="43" fontId="15" fillId="0" borderId="0"/>
    <xf numFmtId="43" fontId="4" fillId="0" borderId="0"/>
    <xf numFmtId="38" fontId="6" fillId="10" borderId="2">
      <protection locked="0"/>
    </xf>
    <xf numFmtId="2" fontId="7" fillId="11" borderId="0">
      <alignment horizontal="left"/>
      <protection hidden="1"/>
    </xf>
    <xf numFmtId="167" fontId="8" fillId="0" borderId="0"/>
    <xf numFmtId="0" fontId="3" fillId="2" borderId="0"/>
    <xf numFmtId="168" fontId="9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5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3" borderId="1"/>
    <xf numFmtId="0" fontId="10" fillId="12" borderId="0">
      <alignment horizontal="right"/>
    </xf>
    <xf numFmtId="0" fontId="11" fillId="0" borderId="3">
      <alignment horizontal="center"/>
    </xf>
    <xf numFmtId="169" fontId="12" fillId="13" borderId="0"/>
    <xf numFmtId="0" fontId="2" fillId="0" borderId="0"/>
    <xf numFmtId="170" fontId="13" fillId="14" borderId="2">
      <alignment horizontal="right"/>
    </xf>
  </cellStyleXfs>
  <cellXfs count="184">
    <xf numFmtId="0" fontId="0" fillId="0" borderId="0" xfId="0"/>
    <xf numFmtId="164" fontId="15" fillId="15" borderId="0" xfId="10" applyNumberFormat="1" applyFont="1" applyFill="1" applyAlignment="1" applyProtection="1">
      <alignment horizontal="left"/>
      <protection locked="0"/>
    </xf>
    <xf numFmtId="0" fontId="15" fillId="15" borderId="13" xfId="1" applyFont="1" applyFill="1" applyBorder="1" applyAlignment="1" applyProtection="1">
      <alignment horizontal="center"/>
      <protection locked="0"/>
    </xf>
    <xf numFmtId="0" fontId="15" fillId="15" borderId="12" xfId="1" applyFont="1" applyFill="1" applyBorder="1" applyAlignment="1" applyProtection="1">
      <alignment horizontal="center"/>
      <protection locked="0"/>
    </xf>
    <xf numFmtId="164" fontId="15" fillId="15" borderId="13" xfId="10" applyNumberFormat="1" applyFont="1" applyFill="1" applyBorder="1" applyAlignment="1" applyProtection="1">
      <alignment horizontal="center"/>
      <protection locked="0"/>
    </xf>
    <xf numFmtId="164" fontId="15" fillId="15" borderId="19" xfId="10" applyNumberFormat="1" applyFont="1" applyFill="1" applyBorder="1" applyAlignment="1" applyProtection="1">
      <alignment horizontal="center"/>
      <protection locked="0"/>
    </xf>
    <xf numFmtId="164" fontId="13" fillId="15" borderId="9" xfId="10" applyNumberFormat="1" applyFont="1" applyFill="1" applyBorder="1" applyProtection="1">
      <protection locked="0"/>
    </xf>
    <xf numFmtId="164" fontId="15" fillId="15" borderId="0" xfId="10" applyNumberFormat="1" applyFont="1" applyFill="1" applyProtection="1">
      <protection locked="0"/>
    </xf>
    <xf numFmtId="164" fontId="15" fillId="15" borderId="3" xfId="10" applyNumberFormat="1" applyFont="1" applyFill="1" applyBorder="1" applyProtection="1">
      <protection locked="0"/>
    </xf>
    <xf numFmtId="164" fontId="15" fillId="15" borderId="17" xfId="10" applyNumberFormat="1" applyFont="1" applyFill="1" applyBorder="1" applyAlignment="1" applyProtection="1">
      <alignment horizontal="center"/>
      <protection locked="0"/>
    </xf>
    <xf numFmtId="164" fontId="15" fillId="15" borderId="3" xfId="10" applyNumberFormat="1" applyFont="1" applyFill="1" applyBorder="1" applyAlignment="1" applyProtection="1">
      <alignment horizontal="center"/>
      <protection locked="0"/>
    </xf>
    <xf numFmtId="164" fontId="15" fillId="15" borderId="0" xfId="10" applyNumberFormat="1" applyFont="1" applyFill="1" applyAlignment="1" applyProtection="1">
      <alignment horizontal="left" vertical="center" wrapText="1"/>
      <protection locked="0"/>
    </xf>
    <xf numFmtId="0" fontId="4" fillId="0" borderId="0" xfId="1"/>
    <xf numFmtId="164" fontId="15" fillId="15" borderId="6" xfId="10" applyNumberFormat="1" applyFont="1" applyFill="1" applyBorder="1" applyAlignment="1" applyProtection="1">
      <alignment horizontal="center"/>
      <protection locked="0"/>
    </xf>
    <xf numFmtId="164" fontId="15" fillId="15" borderId="6" xfId="10" applyNumberFormat="1" applyFont="1" applyFill="1" applyBorder="1" applyAlignment="1">
      <alignment horizontal="center"/>
    </xf>
    <xf numFmtId="164" fontId="15" fillId="15" borderId="6" xfId="10" applyNumberFormat="1" applyFont="1" applyFill="1" applyBorder="1"/>
    <xf numFmtId="0" fontId="19" fillId="15" borderId="0" xfId="1" applyFont="1" applyFill="1" applyAlignment="1" applyProtection="1">
      <alignment horizontal="center"/>
      <protection locked="0"/>
    </xf>
    <xf numFmtId="0" fontId="5" fillId="15" borderId="0" xfId="1" applyFont="1" applyFill="1" applyProtection="1">
      <protection locked="0"/>
    </xf>
    <xf numFmtId="0" fontId="16" fillId="15" borderId="0" xfId="1" applyFont="1" applyFill="1" applyAlignment="1" applyProtection="1">
      <alignment horizontal="center"/>
      <protection locked="0"/>
    </xf>
    <xf numFmtId="0" fontId="20" fillId="15" borderId="0" xfId="1" applyFont="1" applyFill="1" applyAlignment="1" applyProtection="1">
      <alignment horizontal="center"/>
      <protection locked="0"/>
    </xf>
    <xf numFmtId="0" fontId="15" fillId="15" borderId="8" xfId="1" applyFont="1" applyFill="1" applyBorder="1" applyProtection="1">
      <protection locked="0"/>
    </xf>
    <xf numFmtId="0" fontId="15" fillId="15" borderId="9" xfId="1" applyFont="1" applyFill="1" applyBorder="1" applyProtection="1">
      <protection locked="0"/>
    </xf>
    <xf numFmtId="0" fontId="15" fillId="15" borderId="10" xfId="1" applyFont="1" applyFill="1" applyBorder="1" applyProtection="1">
      <protection locked="0"/>
    </xf>
    <xf numFmtId="0" fontId="15" fillId="15" borderId="0" xfId="1" applyFont="1" applyFill="1" applyProtection="1">
      <protection locked="0"/>
    </xf>
    <xf numFmtId="0" fontId="15" fillId="15" borderId="11" xfId="1" applyFont="1" applyFill="1" applyBorder="1" applyProtection="1">
      <protection locked="0"/>
    </xf>
    <xf numFmtId="0" fontId="15" fillId="15" borderId="0" xfId="1" applyFont="1" applyFill="1" applyAlignment="1" applyProtection="1">
      <alignment horizontal="center"/>
      <protection locked="0"/>
    </xf>
    <xf numFmtId="0" fontId="18" fillId="15" borderId="0" xfId="1" applyFont="1" applyFill="1" applyAlignment="1" applyProtection="1">
      <alignment horizontal="center"/>
      <protection locked="0"/>
    </xf>
    <xf numFmtId="0" fontId="15" fillId="15" borderId="8" xfId="1" applyFont="1" applyFill="1" applyBorder="1" applyAlignment="1" applyProtection="1">
      <alignment horizontal="center"/>
      <protection locked="0"/>
    </xf>
    <xf numFmtId="0" fontId="15" fillId="15" borderId="9" xfId="1" applyFont="1" applyFill="1" applyBorder="1" applyAlignment="1" applyProtection="1">
      <alignment horizontal="center"/>
      <protection locked="0"/>
    </xf>
    <xf numFmtId="0" fontId="15" fillId="15" borderId="10" xfId="1" applyFont="1" applyFill="1" applyBorder="1" applyAlignment="1" applyProtection="1">
      <alignment horizontal="center"/>
      <protection locked="0"/>
    </xf>
    <xf numFmtId="0" fontId="16" fillId="15" borderId="14" xfId="1" applyFont="1" applyFill="1" applyBorder="1" applyProtection="1">
      <protection locked="0"/>
    </xf>
    <xf numFmtId="0" fontId="15" fillId="15" borderId="15" xfId="1" applyFont="1" applyFill="1" applyBorder="1" applyProtection="1">
      <protection locked="0"/>
    </xf>
    <xf numFmtId="0" fontId="4" fillId="0" borderId="0" xfId="1" applyProtection="1">
      <protection locked="0"/>
    </xf>
    <xf numFmtId="0" fontId="16" fillId="15" borderId="3" xfId="1" applyFont="1" applyFill="1" applyBorder="1" applyProtection="1">
      <protection locked="0"/>
    </xf>
    <xf numFmtId="0" fontId="15" fillId="15" borderId="16" xfId="1" applyFont="1" applyFill="1" applyBorder="1" applyProtection="1">
      <protection locked="0"/>
    </xf>
    <xf numFmtId="164" fontId="15" fillId="15" borderId="17" xfId="10" applyNumberFormat="1" applyFont="1" applyFill="1" applyBorder="1" applyProtection="1">
      <protection locked="0"/>
    </xf>
    <xf numFmtId="0" fontId="16" fillId="15" borderId="4" xfId="1" applyFont="1" applyFill="1" applyBorder="1" applyAlignment="1" applyProtection="1">
      <alignment horizontal="center"/>
      <protection locked="0"/>
    </xf>
    <xf numFmtId="0" fontId="16" fillId="15" borderId="8" xfId="1" applyFont="1" applyFill="1" applyBorder="1" applyProtection="1">
      <protection locked="0"/>
    </xf>
    <xf numFmtId="0" fontId="15" fillId="15" borderId="18" xfId="1" applyFont="1" applyFill="1" applyBorder="1" applyProtection="1">
      <protection locked="0"/>
    </xf>
    <xf numFmtId="164" fontId="15" fillId="15" borderId="9" xfId="10" applyNumberFormat="1" applyFont="1" applyFill="1" applyBorder="1" applyProtection="1">
      <protection locked="0"/>
    </xf>
    <xf numFmtId="165" fontId="15" fillId="15" borderId="19" xfId="1" applyNumberFormat="1" applyFont="1" applyFill="1" applyBorder="1" applyAlignment="1" applyProtection="1">
      <alignment horizontal="center"/>
      <protection locked="0"/>
    </xf>
    <xf numFmtId="165" fontId="15" fillId="15" borderId="13" xfId="1" applyNumberFormat="1" applyFont="1" applyFill="1" applyBorder="1" applyAlignment="1" applyProtection="1">
      <alignment horizontal="center"/>
      <protection locked="0"/>
    </xf>
    <xf numFmtId="165" fontId="15" fillId="15" borderId="9" xfId="1" applyNumberFormat="1" applyFont="1" applyFill="1" applyBorder="1" applyAlignment="1" applyProtection="1">
      <alignment horizontal="center"/>
      <protection locked="0"/>
    </xf>
    <xf numFmtId="165" fontId="15" fillId="15" borderId="0" xfId="1" applyNumberFormat="1" applyFont="1" applyFill="1" applyAlignment="1" applyProtection="1">
      <alignment horizontal="center" vertical="center" wrapText="1"/>
      <protection locked="0"/>
    </xf>
    <xf numFmtId="164" fontId="15" fillId="15" borderId="12" xfId="10" applyNumberFormat="1" applyFont="1" applyFill="1" applyBorder="1" applyAlignment="1" applyProtection="1">
      <alignment horizontal="center"/>
      <protection locked="0"/>
    </xf>
    <xf numFmtId="164" fontId="15" fillId="15" borderId="0" xfId="10" applyNumberFormat="1" applyFont="1" applyFill="1" applyAlignment="1" applyProtection="1">
      <alignment horizontal="center"/>
      <protection locked="0"/>
    </xf>
    <xf numFmtId="164" fontId="16" fillId="15" borderId="0" xfId="10" applyNumberFormat="1" applyFont="1" applyFill="1" applyAlignment="1" applyProtection="1">
      <alignment horizontal="center"/>
      <protection locked="0"/>
    </xf>
    <xf numFmtId="164" fontId="22" fillId="15" borderId="0" xfId="10" applyNumberFormat="1" applyFont="1" applyFill="1" applyAlignment="1" applyProtection="1">
      <alignment horizontal="center"/>
      <protection locked="0"/>
    </xf>
    <xf numFmtId="0" fontId="15" fillId="15" borderId="5" xfId="1" applyFont="1" applyFill="1" applyBorder="1" applyAlignment="1" applyProtection="1">
      <alignment horizontal="center"/>
      <protection locked="0"/>
    </xf>
    <xf numFmtId="164" fontId="15" fillId="15" borderId="20" xfId="10" applyNumberFormat="1" applyFont="1" applyFill="1" applyBorder="1" applyAlignment="1" applyProtection="1">
      <alignment horizontal="center"/>
      <protection locked="0"/>
    </xf>
    <xf numFmtId="0" fontId="16" fillId="15" borderId="6" xfId="1" applyFont="1" applyFill="1" applyBorder="1" applyProtection="1">
      <protection locked="0"/>
    </xf>
    <xf numFmtId="0" fontId="21" fillId="15" borderId="0" xfId="1" applyFont="1" applyFill="1" applyAlignment="1" applyProtection="1">
      <alignment horizontal="center"/>
      <protection locked="0"/>
    </xf>
    <xf numFmtId="0" fontId="16" fillId="15" borderId="7" xfId="1" applyFont="1" applyFill="1" applyBorder="1" applyProtection="1">
      <protection locked="0"/>
    </xf>
    <xf numFmtId="164" fontId="13" fillId="15" borderId="8" xfId="10" applyNumberFormat="1" applyFont="1" applyFill="1" applyBorder="1" applyProtection="1">
      <protection locked="0"/>
    </xf>
    <xf numFmtId="0" fontId="16" fillId="15" borderId="7" xfId="1" applyFont="1" applyFill="1" applyBorder="1" applyAlignment="1" applyProtection="1">
      <alignment horizontal="center"/>
      <protection locked="0"/>
    </xf>
    <xf numFmtId="165" fontId="15" fillId="15" borderId="12" xfId="1" applyNumberFormat="1" applyFont="1" applyFill="1" applyBorder="1" applyAlignment="1" applyProtection="1">
      <alignment horizontal="center"/>
      <protection locked="0"/>
    </xf>
    <xf numFmtId="164" fontId="23" fillId="15" borderId="0" xfId="10" applyNumberFormat="1" applyFont="1" applyFill="1" applyAlignment="1" applyProtection="1">
      <alignment horizontal="center"/>
      <protection locked="0"/>
    </xf>
    <xf numFmtId="164" fontId="15" fillId="15" borderId="0" xfId="10" applyNumberFormat="1" applyFont="1" applyFill="1" applyAlignment="1" applyProtection="1">
      <alignment horizontal="left" vertical="center"/>
      <protection locked="0"/>
    </xf>
    <xf numFmtId="164" fontId="15" fillId="15" borderId="17" xfId="10" applyNumberFormat="1" applyFont="1" applyFill="1" applyBorder="1" applyAlignment="1" applyProtection="1">
      <alignment horizontal="left" vertical="center"/>
      <protection locked="0"/>
    </xf>
    <xf numFmtId="0" fontId="14" fillId="15" borderId="0" xfId="1" applyFont="1" applyFill="1" applyAlignment="1" applyProtection="1">
      <alignment horizontal="center"/>
      <protection locked="0"/>
    </xf>
    <xf numFmtId="164" fontId="16" fillId="15" borderId="14" xfId="10" applyNumberFormat="1" applyFont="1" applyFill="1" applyBorder="1" applyProtection="1">
      <protection locked="0"/>
    </xf>
    <xf numFmtId="164" fontId="17" fillId="15" borderId="11" xfId="10" applyNumberFormat="1" applyFont="1" applyFill="1" applyBorder="1" applyProtection="1">
      <protection locked="0"/>
    </xf>
    <xf numFmtId="164" fontId="15" fillId="15" borderId="11" xfId="10" applyNumberFormat="1" applyFont="1" applyFill="1" applyBorder="1" applyProtection="1">
      <protection locked="0"/>
    </xf>
    <xf numFmtId="164" fontId="15" fillId="15" borderId="14" xfId="10" applyNumberFormat="1" applyFont="1" applyFill="1" applyBorder="1" applyProtection="1">
      <protection locked="0"/>
    </xf>
    <xf numFmtId="164" fontId="15" fillId="15" borderId="20" xfId="10" applyNumberFormat="1" applyFont="1" applyFill="1" applyBorder="1" applyProtection="1">
      <protection locked="0"/>
    </xf>
    <xf numFmtId="164" fontId="15" fillId="15" borderId="5" xfId="10" applyNumberFormat="1" applyFont="1" applyFill="1" applyBorder="1" applyProtection="1">
      <protection locked="0"/>
    </xf>
    <xf numFmtId="164" fontId="21" fillId="15" borderId="0" xfId="10" applyNumberFormat="1" applyFont="1" applyFill="1" applyProtection="1">
      <protection locked="0"/>
    </xf>
    <xf numFmtId="164" fontId="15" fillId="15" borderId="6" xfId="10" applyNumberFormat="1" applyFont="1" applyFill="1" applyBorder="1" applyProtection="1">
      <protection locked="0"/>
    </xf>
    <xf numFmtId="164" fontId="16" fillId="15" borderId="3" xfId="10" applyNumberFormat="1" applyFont="1" applyFill="1" applyBorder="1" applyProtection="1">
      <protection locked="0"/>
    </xf>
    <xf numFmtId="164" fontId="15" fillId="15" borderId="7" xfId="10" applyNumberFormat="1" applyFont="1" applyFill="1" applyBorder="1" applyProtection="1">
      <protection locked="0"/>
    </xf>
    <xf numFmtId="164" fontId="16" fillId="15" borderId="0" xfId="10" applyNumberFormat="1" applyFont="1" applyFill="1" applyProtection="1">
      <protection locked="0"/>
    </xf>
    <xf numFmtId="164" fontId="15" fillId="15" borderId="17" xfId="10" quotePrefix="1" applyNumberFormat="1" applyFont="1" applyFill="1" applyBorder="1" applyProtection="1">
      <protection locked="0"/>
    </xf>
    <xf numFmtId="164" fontId="15" fillId="15" borderId="8" xfId="10" applyNumberFormat="1" applyFont="1" applyFill="1" applyBorder="1" applyProtection="1">
      <protection locked="0"/>
    </xf>
    <xf numFmtId="164" fontId="16" fillId="15" borderId="6" xfId="10" applyNumberFormat="1" applyFont="1" applyFill="1" applyBorder="1" applyProtection="1">
      <protection locked="0"/>
    </xf>
    <xf numFmtId="164" fontId="16" fillId="15" borderId="3" xfId="10" applyNumberFormat="1" applyFont="1" applyFill="1" applyBorder="1" applyAlignment="1" applyProtection="1">
      <alignment horizontal="right"/>
      <protection locked="0"/>
    </xf>
    <xf numFmtId="164" fontId="15" fillId="15" borderId="0" xfId="10" applyNumberFormat="1" applyFont="1" applyFill="1" applyAlignment="1" applyProtection="1">
      <alignment horizontal="right"/>
      <protection locked="0"/>
    </xf>
    <xf numFmtId="164" fontId="15" fillId="15" borderId="19" xfId="10" applyNumberFormat="1" applyFont="1" applyFill="1" applyBorder="1" applyAlignment="1" applyProtection="1">
      <alignment horizontal="right"/>
      <protection locked="0"/>
    </xf>
    <xf numFmtId="164" fontId="15" fillId="15" borderId="12" xfId="10" applyNumberFormat="1" applyFont="1" applyFill="1" applyBorder="1" applyProtection="1">
      <protection locked="0"/>
    </xf>
    <xf numFmtId="164" fontId="22" fillId="15" borderId="3" xfId="10" applyNumberFormat="1" applyFont="1" applyFill="1" applyBorder="1" applyProtection="1">
      <protection locked="0"/>
    </xf>
    <xf numFmtId="164" fontId="15" fillId="0" borderId="0" xfId="10" quotePrefix="1" applyNumberFormat="1" applyFont="1" applyProtection="1">
      <protection locked="0"/>
    </xf>
    <xf numFmtId="164" fontId="20" fillId="15" borderId="3" xfId="10" applyNumberFormat="1" applyFont="1" applyFill="1" applyBorder="1" applyProtection="1">
      <protection locked="0"/>
    </xf>
    <xf numFmtId="164" fontId="15" fillId="15" borderId="10" xfId="10" applyNumberFormat="1" applyFont="1" applyFill="1" applyBorder="1" applyProtection="1">
      <protection locked="0"/>
    </xf>
    <xf numFmtId="164" fontId="5" fillId="15" borderId="0" xfId="10" applyNumberFormat="1" applyFont="1" applyFill="1" applyProtection="1">
      <protection locked="0"/>
    </xf>
    <xf numFmtId="164" fontId="15" fillId="15" borderId="8" xfId="10" applyNumberFormat="1" applyFont="1" applyFill="1" applyBorder="1" applyAlignment="1" applyProtection="1">
      <alignment vertical="center" wrapText="1"/>
      <protection locked="0"/>
    </xf>
    <xf numFmtId="164" fontId="15" fillId="15" borderId="9" xfId="10" applyNumberFormat="1" applyFont="1" applyFill="1" applyBorder="1" applyAlignment="1" applyProtection="1">
      <alignment vertical="center" wrapText="1"/>
      <protection locked="0"/>
    </xf>
    <xf numFmtId="164" fontId="15" fillId="15" borderId="10" xfId="10" applyNumberFormat="1" applyFont="1" applyFill="1" applyBorder="1" applyAlignment="1" applyProtection="1">
      <alignment vertical="center" wrapText="1"/>
      <protection locked="0"/>
    </xf>
    <xf numFmtId="0" fontId="4" fillId="0" borderId="11" xfId="1" applyBorder="1"/>
    <xf numFmtId="0" fontId="4" fillId="0" borderId="20" xfId="1" applyBorder="1"/>
    <xf numFmtId="164" fontId="15" fillId="15" borderId="14" xfId="10" applyNumberFormat="1" applyFont="1" applyFill="1" applyBorder="1" applyAlignment="1" applyProtection="1">
      <alignment horizontal="right"/>
      <protection locked="0"/>
    </xf>
    <xf numFmtId="0" fontId="15" fillId="0" borderId="11" xfId="1" applyFont="1" applyBorder="1"/>
    <xf numFmtId="164" fontId="21" fillId="15" borderId="0" xfId="10" applyNumberFormat="1" applyFont="1" applyFill="1" applyAlignment="1" applyProtection="1">
      <alignment vertical="center"/>
      <protection locked="0"/>
    </xf>
    <xf numFmtId="0" fontId="4" fillId="0" borderId="0" xfId="1" applyAlignment="1">
      <alignment horizontal="right"/>
    </xf>
    <xf numFmtId="0" fontId="15" fillId="0" borderId="0" xfId="1" applyFont="1"/>
    <xf numFmtId="164" fontId="15" fillId="0" borderId="9" xfId="1" applyNumberFormat="1" applyFont="1" applyBorder="1"/>
    <xf numFmtId="164" fontId="25" fillId="0" borderId="20" xfId="9" applyNumberFormat="1" applyFont="1" applyBorder="1"/>
    <xf numFmtId="0" fontId="15" fillId="0" borderId="10" xfId="1" applyFont="1" applyBorder="1" applyAlignment="1">
      <alignment horizontal="right"/>
    </xf>
    <xf numFmtId="0" fontId="4" fillId="0" borderId="17" xfId="1" applyBorder="1" applyAlignment="1">
      <alignment horizontal="right"/>
    </xf>
    <xf numFmtId="164" fontId="15" fillId="15" borderId="19" xfId="10" quotePrefix="1" applyNumberFormat="1" applyFont="1" applyFill="1" applyBorder="1" applyAlignment="1" applyProtection="1">
      <alignment horizontal="center"/>
      <protection locked="0"/>
    </xf>
    <xf numFmtId="164" fontId="15" fillId="16" borderId="0" xfId="10" quotePrefix="1" applyNumberFormat="1" applyFont="1" applyFill="1" applyProtection="1">
      <protection locked="0"/>
    </xf>
    <xf numFmtId="165" fontId="15" fillId="17" borderId="7" xfId="1" applyNumberFormat="1" applyFont="1" applyFill="1" applyBorder="1" applyAlignment="1" applyProtection="1">
      <alignment horizontal="center"/>
      <protection locked="0"/>
    </xf>
    <xf numFmtId="164" fontId="15" fillId="15" borderId="3" xfId="10" applyNumberFormat="1" applyFont="1" applyFill="1" applyBorder="1" applyAlignment="1" applyProtection="1">
      <alignment horizontal="right"/>
      <protection locked="0"/>
    </xf>
    <xf numFmtId="164" fontId="21" fillId="15" borderId="17" xfId="10" applyNumberFormat="1" applyFont="1" applyFill="1" applyBorder="1" applyProtection="1">
      <protection locked="0"/>
    </xf>
    <xf numFmtId="164" fontId="16" fillId="15" borderId="8" xfId="10" applyNumberFormat="1" applyFont="1" applyFill="1" applyBorder="1" applyProtection="1">
      <protection locked="0"/>
    </xf>
    <xf numFmtId="164" fontId="16" fillId="15" borderId="17" xfId="10" applyNumberFormat="1" applyFont="1" applyFill="1" applyBorder="1" applyProtection="1">
      <protection locked="0"/>
    </xf>
    <xf numFmtId="164" fontId="15" fillId="15" borderId="8" xfId="10" applyNumberFormat="1" applyFont="1" applyFill="1" applyBorder="1" applyAlignment="1" applyProtection="1">
      <alignment horizontal="right"/>
      <protection locked="0"/>
    </xf>
    <xf numFmtId="164" fontId="16" fillId="15" borderId="14" xfId="10" applyNumberFormat="1" applyFont="1" applyFill="1" applyBorder="1" applyAlignment="1" applyProtection="1">
      <alignment horizontal="right"/>
      <protection locked="0"/>
    </xf>
    <xf numFmtId="164" fontId="24" fillId="0" borderId="11" xfId="23" applyNumberFormat="1" applyFont="1" applyBorder="1"/>
    <xf numFmtId="0" fontId="16" fillId="15" borderId="4" xfId="1" applyFont="1" applyFill="1" applyBorder="1" applyAlignment="1" applyProtection="1">
      <alignment horizontal="center"/>
      <protection locked="0"/>
    </xf>
    <xf numFmtId="0" fontId="0" fillId="0" borderId="12" xfId="0" applyBorder="1" applyProtection="1">
      <protection locked="0"/>
    </xf>
    <xf numFmtId="0" fontId="0" fillId="0" borderId="13" xfId="0" applyBorder="1" applyProtection="1">
      <protection locked="0"/>
    </xf>
    <xf numFmtId="0" fontId="15" fillId="15" borderId="4" xfId="1" applyFont="1" applyFill="1" applyBorder="1" applyAlignment="1" applyProtection="1">
      <alignment horizontal="center"/>
      <protection locked="0"/>
    </xf>
    <xf numFmtId="0" fontId="15" fillId="0" borderId="12" xfId="1" applyFont="1" applyBorder="1" applyAlignment="1">
      <alignment horizontal="center"/>
    </xf>
    <xf numFmtId="0" fontId="0" fillId="0" borderId="12" xfId="0" applyBorder="1"/>
    <xf numFmtId="164" fontId="15" fillId="15" borderId="6" xfId="10" applyNumberFormat="1" applyFont="1" applyFill="1" applyBorder="1" applyAlignment="1" applyProtection="1">
      <alignment horizontal="center"/>
      <protection locked="0"/>
    </xf>
    <xf numFmtId="0" fontId="0" fillId="0" borderId="17" xfId="0" applyBorder="1" applyProtection="1">
      <protection locked="0"/>
    </xf>
    <xf numFmtId="0" fontId="15" fillId="15" borderId="20" xfId="1" applyFont="1" applyFill="1" applyBorder="1" applyAlignment="1" applyProtection="1">
      <alignment horizontal="center"/>
      <protection locked="0"/>
    </xf>
    <xf numFmtId="0" fontId="0" fillId="0" borderId="11" xfId="0" applyBorder="1" applyProtection="1">
      <protection locked="0"/>
    </xf>
    <xf numFmtId="0" fontId="0" fillId="0" borderId="20" xfId="0" applyBorder="1" applyProtection="1">
      <protection locked="0"/>
    </xf>
    <xf numFmtId="164" fontId="13" fillId="15" borderId="5" xfId="10" applyNumberFormat="1" applyFont="1" applyFill="1" applyBorder="1" applyAlignment="1" applyProtection="1">
      <alignment horizontal="center"/>
      <protection locked="0"/>
    </xf>
    <xf numFmtId="0" fontId="21" fillId="15" borderId="5" xfId="1" applyFont="1" applyFill="1" applyBorder="1" applyAlignment="1" applyProtection="1">
      <alignment horizontal="center"/>
      <protection locked="0"/>
    </xf>
    <xf numFmtId="0" fontId="15" fillId="15" borderId="9" xfId="1" applyFont="1" applyFill="1" applyBorder="1" applyAlignment="1" applyProtection="1">
      <alignment horizontal="center"/>
      <protection locked="0"/>
    </xf>
    <xf numFmtId="0" fontId="0" fillId="0" borderId="9" xfId="0" applyBorder="1" applyProtection="1">
      <protection locked="0"/>
    </xf>
    <xf numFmtId="164" fontId="15" fillId="15" borderId="5" xfId="10" applyNumberFormat="1" applyFont="1" applyFill="1" applyBorder="1" applyAlignment="1" applyProtection="1">
      <alignment horizontal="center"/>
      <protection locked="0"/>
    </xf>
    <xf numFmtId="164" fontId="21" fillId="15" borderId="0" xfId="10" applyNumberFormat="1" applyFont="1" applyFill="1" applyAlignment="1" applyProtection="1">
      <alignment horizontal="left" vertical="center" wrapText="1"/>
      <protection locked="0"/>
    </xf>
    <xf numFmtId="0" fontId="0" fillId="0" borderId="0" xfId="0" applyProtection="1">
      <protection locked="0"/>
    </xf>
    <xf numFmtId="164" fontId="15" fillId="15" borderId="17" xfId="10" applyNumberFormat="1" applyFont="1" applyFill="1" applyBorder="1" applyAlignment="1" applyProtection="1">
      <alignment horizontal="left"/>
      <protection locked="0"/>
    </xf>
    <xf numFmtId="14" fontId="15" fillId="15" borderId="4" xfId="1" applyNumberFormat="1" applyFont="1" applyFill="1" applyBorder="1" applyAlignment="1" applyProtection="1">
      <alignment horizontal="center"/>
      <protection locked="0"/>
    </xf>
    <xf numFmtId="14" fontId="15" fillId="15" borderId="4" xfId="1" quotePrefix="1" applyNumberFormat="1" applyFont="1" applyFill="1" applyBorder="1" applyAlignment="1" applyProtection="1">
      <alignment horizontal="center"/>
      <protection locked="0"/>
    </xf>
    <xf numFmtId="164" fontId="13" fillId="15" borderId="20" xfId="10" applyNumberFormat="1" applyFont="1" applyFill="1" applyBorder="1" applyProtection="1">
      <protection locked="0"/>
    </xf>
    <xf numFmtId="164" fontId="15" fillId="15" borderId="8" xfId="10" applyNumberFormat="1" applyFont="1" applyFill="1" applyBorder="1" applyAlignment="1" applyProtection="1">
      <alignment horizontal="center"/>
      <protection locked="0"/>
    </xf>
    <xf numFmtId="164" fontId="16" fillId="15" borderId="4" xfId="10" applyNumberFormat="1" applyFont="1" applyFill="1" applyBorder="1" applyAlignment="1" applyProtection="1">
      <alignment horizontal="center"/>
      <protection locked="0"/>
    </xf>
    <xf numFmtId="164" fontId="13" fillId="15" borderId="3" xfId="10" applyNumberFormat="1" applyFont="1" applyFill="1" applyBorder="1" applyAlignment="1" applyProtection="1">
      <alignment horizontal="center"/>
      <protection locked="0"/>
    </xf>
    <xf numFmtId="0" fontId="15" fillId="15" borderId="4" xfId="1" applyFont="1" applyFill="1" applyBorder="1" applyAlignment="1" applyProtection="1">
      <alignment horizontal="center" vertical="center" wrapText="1"/>
      <protection locked="0"/>
    </xf>
    <xf numFmtId="164" fontId="15" fillId="15" borderId="12" xfId="10" applyNumberFormat="1" applyFont="1" applyFill="1" applyBorder="1" applyAlignment="1" applyProtection="1">
      <alignment horizontal="center"/>
      <protection locked="0"/>
    </xf>
    <xf numFmtId="164" fontId="16" fillId="15" borderId="6" xfId="10" applyNumberFormat="1" applyFont="1" applyFill="1" applyBorder="1" applyAlignment="1" applyProtection="1">
      <alignment horizontal="center"/>
      <protection locked="0"/>
    </xf>
    <xf numFmtId="164" fontId="15" fillId="15" borderId="0" xfId="10" applyNumberFormat="1" applyFont="1" applyFill="1" applyAlignment="1" applyProtection="1">
      <alignment horizontal="left" vertical="center" wrapText="1"/>
      <protection locked="0"/>
    </xf>
    <xf numFmtId="164" fontId="15" fillId="15" borderId="21" xfId="10" applyNumberFormat="1" applyFont="1" applyFill="1" applyBorder="1" applyAlignment="1" applyProtection="1">
      <alignment horizontal="center"/>
      <protection locked="0"/>
    </xf>
    <xf numFmtId="0" fontId="0" fillId="0" borderId="21" xfId="0" applyBorder="1" applyProtection="1">
      <protection locked="0"/>
    </xf>
    <xf numFmtId="0" fontId="15" fillId="17" borderId="6" xfId="1" applyFont="1" applyFill="1" applyBorder="1" applyAlignment="1" applyProtection="1">
      <alignment horizontal="center"/>
      <protection locked="0"/>
    </xf>
    <xf numFmtId="0" fontId="16" fillId="15" borderId="5" xfId="1" applyFont="1" applyFill="1" applyBorder="1" applyAlignment="1" applyProtection="1">
      <alignment horizontal="center"/>
      <protection locked="0"/>
    </xf>
    <xf numFmtId="165" fontId="15" fillId="15" borderId="4" xfId="1" applyNumberFormat="1" applyFont="1" applyFill="1" applyBorder="1" applyAlignment="1" applyProtection="1">
      <alignment horizontal="center"/>
      <protection locked="0"/>
    </xf>
    <xf numFmtId="164" fontId="13" fillId="15" borderId="6" xfId="10" applyNumberFormat="1" applyFont="1" applyFill="1" applyBorder="1" applyAlignment="1" applyProtection="1">
      <alignment horizontal="center"/>
      <protection locked="0"/>
    </xf>
    <xf numFmtId="164" fontId="15" fillId="15" borderId="4" xfId="10" applyNumberFormat="1" applyFont="1" applyFill="1" applyBorder="1" applyAlignment="1" applyProtection="1">
      <alignment horizontal="center"/>
      <protection locked="0"/>
    </xf>
    <xf numFmtId="164" fontId="15" fillId="15" borderId="17" xfId="10" applyNumberFormat="1" applyFont="1" applyFill="1" applyBorder="1" applyAlignment="1" applyProtection="1">
      <alignment horizontal="center"/>
      <protection locked="0"/>
    </xf>
    <xf numFmtId="0" fontId="16" fillId="15" borderId="11" xfId="1" applyFont="1" applyFill="1" applyBorder="1" applyAlignment="1" applyProtection="1">
      <alignment horizontal="center"/>
      <protection locked="0"/>
    </xf>
    <xf numFmtId="0" fontId="16" fillId="15" borderId="6" xfId="1" applyFont="1" applyFill="1" applyBorder="1" applyAlignment="1" applyProtection="1">
      <alignment horizontal="center"/>
      <protection locked="0"/>
    </xf>
    <xf numFmtId="164" fontId="15" fillId="15" borderId="4" xfId="10" applyNumberFormat="1" applyFont="1" applyFill="1" applyBorder="1" applyProtection="1">
      <protection locked="0"/>
    </xf>
    <xf numFmtId="164" fontId="15" fillId="15" borderId="3" xfId="10" applyNumberFormat="1" applyFont="1" applyFill="1" applyBorder="1" applyProtection="1">
      <protection locked="0"/>
    </xf>
    <xf numFmtId="0" fontId="16" fillId="15" borderId="12" xfId="1" applyFont="1" applyFill="1" applyBorder="1" applyAlignment="1" applyProtection="1">
      <alignment horizontal="center"/>
      <protection locked="0"/>
    </xf>
    <xf numFmtId="0" fontId="20" fillId="15" borderId="6" xfId="1" applyFont="1" applyFill="1" applyBorder="1" applyAlignment="1" applyProtection="1">
      <alignment horizontal="center"/>
      <protection locked="0"/>
    </xf>
    <xf numFmtId="164" fontId="15" fillId="15" borderId="4" xfId="10" applyNumberFormat="1" applyFont="1" applyFill="1" applyBorder="1" applyAlignment="1" applyProtection="1">
      <alignment horizontal="center" vertical="center" wrapText="1"/>
      <protection locked="0"/>
    </xf>
    <xf numFmtId="0" fontId="14" fillId="15" borderId="7" xfId="1" applyFont="1" applyFill="1" applyBorder="1" applyAlignment="1" applyProtection="1">
      <alignment horizontal="center"/>
      <protection locked="0"/>
    </xf>
    <xf numFmtId="0" fontId="0" fillId="0" borderId="10" xfId="0" applyBorder="1" applyProtection="1">
      <protection locked="0"/>
    </xf>
    <xf numFmtId="0" fontId="15" fillId="17" borderId="3" xfId="1" applyFont="1" applyFill="1" applyBorder="1" applyAlignment="1" applyProtection="1">
      <alignment horizontal="center"/>
      <protection locked="0"/>
    </xf>
    <xf numFmtId="164" fontId="22" fillId="15" borderId="4" xfId="10" applyNumberFormat="1" applyFont="1" applyFill="1" applyBorder="1" applyAlignment="1" applyProtection="1">
      <alignment horizontal="center"/>
      <protection locked="0"/>
    </xf>
    <xf numFmtId="0" fontId="15" fillId="15" borderId="0" xfId="1" applyFont="1" applyFill="1" applyAlignment="1" applyProtection="1">
      <alignment horizontal="center"/>
      <protection locked="0"/>
    </xf>
    <xf numFmtId="0" fontId="21" fillId="15" borderId="6" xfId="1" applyFont="1" applyFill="1" applyBorder="1" applyAlignment="1" applyProtection="1">
      <alignment horizontal="center"/>
      <protection locked="0"/>
    </xf>
    <xf numFmtId="164" fontId="15" fillId="15" borderId="6" xfId="10" applyNumberFormat="1" applyFont="1" applyFill="1" applyBorder="1" applyAlignment="1">
      <alignment horizontal="center"/>
    </xf>
    <xf numFmtId="0" fontId="0" fillId="0" borderId="17" xfId="0" applyBorder="1"/>
    <xf numFmtId="164" fontId="13" fillId="15" borderId="14" xfId="10" applyNumberFormat="1" applyFont="1" applyFill="1" applyBorder="1" applyAlignment="1" applyProtection="1">
      <alignment horizontal="center"/>
      <protection locked="0"/>
    </xf>
    <xf numFmtId="165" fontId="15" fillId="17" borderId="4" xfId="1" applyNumberFormat="1" applyFont="1" applyFill="1" applyBorder="1" applyAlignment="1" applyProtection="1">
      <alignment horizontal="center"/>
      <protection locked="0"/>
    </xf>
    <xf numFmtId="164" fontId="16" fillId="15" borderId="3" xfId="10" applyNumberFormat="1" applyFont="1" applyFill="1" applyBorder="1" applyAlignment="1" applyProtection="1">
      <alignment horizontal="center"/>
      <protection locked="0"/>
    </xf>
    <xf numFmtId="164" fontId="13" fillId="15" borderId="10" xfId="10" applyNumberFormat="1" applyFont="1" applyFill="1" applyBorder="1" applyProtection="1">
      <protection locked="0"/>
    </xf>
    <xf numFmtId="165" fontId="15" fillId="15" borderId="7" xfId="1" applyNumberFormat="1" applyFont="1" applyFill="1" applyBorder="1" applyAlignment="1" applyProtection="1">
      <alignment horizontal="center"/>
      <protection locked="0"/>
    </xf>
    <xf numFmtId="165" fontId="15" fillId="15" borderId="4" xfId="1" applyNumberFormat="1" applyFont="1" applyFill="1" applyBorder="1" applyAlignment="1" applyProtection="1">
      <alignment horizontal="center" vertical="center" wrapText="1"/>
      <protection locked="0"/>
    </xf>
    <xf numFmtId="164" fontId="15" fillId="15" borderId="7" xfId="10" applyNumberFormat="1" applyFont="1" applyFill="1" applyBorder="1" applyAlignment="1" applyProtection="1">
      <alignment horizontal="left" vertical="center" wrapText="1"/>
      <protection locked="0"/>
    </xf>
    <xf numFmtId="0" fontId="0" fillId="0" borderId="8" xfId="0" applyBorder="1" applyProtection="1">
      <protection locked="0"/>
    </xf>
    <xf numFmtId="164" fontId="23" fillId="15" borderId="4" xfId="10" applyNumberFormat="1" applyFont="1" applyFill="1" applyBorder="1" applyAlignment="1" applyProtection="1">
      <alignment horizontal="center"/>
      <protection locked="0"/>
    </xf>
    <xf numFmtId="164" fontId="15" fillId="15" borderId="11" xfId="10" applyNumberFormat="1" applyFont="1" applyFill="1" applyBorder="1" applyAlignment="1" applyProtection="1">
      <alignment horizontal="center" vertical="center" wrapText="1"/>
      <protection locked="0"/>
    </xf>
    <xf numFmtId="0" fontId="15" fillId="15" borderId="8" xfId="1" applyFont="1" applyFill="1" applyBorder="1" applyAlignment="1" applyProtection="1">
      <alignment horizontal="left"/>
      <protection locked="0"/>
    </xf>
    <xf numFmtId="0" fontId="15" fillId="17" borderId="4" xfId="1" applyFont="1" applyFill="1" applyBorder="1" applyAlignment="1" applyProtection="1">
      <alignment horizontal="center"/>
      <protection locked="0"/>
    </xf>
    <xf numFmtId="164" fontId="15" fillId="15" borderId="4" xfId="10" quotePrefix="1" applyNumberFormat="1" applyFont="1" applyFill="1" applyBorder="1" applyAlignment="1" applyProtection="1">
      <alignment horizontal="center"/>
      <protection locked="0"/>
    </xf>
    <xf numFmtId="0" fontId="16" fillId="15" borderId="4" xfId="1" applyFont="1" applyFill="1" applyBorder="1" applyAlignment="1" applyProtection="1">
      <alignment horizontal="center" vertical="center"/>
      <protection locked="0"/>
    </xf>
    <xf numFmtId="164" fontId="13" fillId="15" borderId="17" xfId="10" applyNumberFormat="1" applyFont="1" applyFill="1" applyBorder="1" applyProtection="1">
      <protection locked="0"/>
    </xf>
    <xf numFmtId="0" fontId="15" fillId="17" borderId="4" xfId="1" applyFont="1" applyFill="1" applyBorder="1" applyAlignment="1">
      <alignment horizontal="center"/>
    </xf>
    <xf numFmtId="0" fontId="0" fillId="0" borderId="11" xfId="0" applyBorder="1"/>
    <xf numFmtId="0" fontId="0" fillId="0" borderId="20" xfId="0" applyBorder="1"/>
    <xf numFmtId="0" fontId="0" fillId="0" borderId="8" xfId="0" applyBorder="1"/>
    <xf numFmtId="0" fontId="0" fillId="0" borderId="9" xfId="0" applyBorder="1"/>
    <xf numFmtId="0" fontId="0" fillId="0" borderId="10" xfId="0" applyBorder="1"/>
    <xf numFmtId="166" fontId="16" fillId="15" borderId="4" xfId="8" applyFont="1" applyFill="1" applyBorder="1" applyAlignment="1" applyProtection="1">
      <alignment horizontal="center"/>
      <protection locked="0"/>
    </xf>
    <xf numFmtId="164" fontId="15" fillId="15" borderId="6" xfId="10" applyNumberFormat="1" applyFont="1" applyFill="1" applyBorder="1" applyAlignment="1" applyProtection="1">
      <alignment horizontal="left" vertical="center" wrapText="1"/>
      <protection locked="0"/>
    </xf>
    <xf numFmtId="0" fontId="19" fillId="15" borderId="5" xfId="1" applyFont="1" applyFill="1" applyBorder="1" applyAlignment="1" applyProtection="1">
      <alignment horizontal="center"/>
      <protection locked="0"/>
    </xf>
    <xf numFmtId="164" fontId="21" fillId="15" borderId="0" xfId="10" applyNumberFormat="1" applyFont="1" applyFill="1" applyProtection="1"/>
  </cellXfs>
  <cellStyles count="36">
    <cellStyle name="60% - Accent1 2" xfId="2" xr:uid="{00000000-0005-0000-0000-000022000000}"/>
    <cellStyle name="60% - Accent2 2" xfId="3" xr:uid="{00000000-0005-0000-0000-000023000000}"/>
    <cellStyle name="60% - Accent3 2" xfId="4" xr:uid="{00000000-0005-0000-0000-000024000000}"/>
    <cellStyle name="60% - Accent4 2" xfId="5" xr:uid="{00000000-0005-0000-0000-000025000000}"/>
    <cellStyle name="60% - Accent5 2" xfId="6" xr:uid="{00000000-0005-0000-0000-000026000000}"/>
    <cellStyle name="60% - Accent6 2" xfId="7" xr:uid="{00000000-0005-0000-0000-000027000000}"/>
    <cellStyle name="Comma 2" xfId="9" xr:uid="{00000000-0005-0000-0000-000029000000}"/>
    <cellStyle name="Comma 3" xfId="8" xr:uid="{00000000-0005-0000-0000-000028000000}"/>
    <cellStyle name="Comma_From 16" xfId="10" xr:uid="{00000000-0005-0000-0000-00002A000000}"/>
    <cellStyle name="Data_0dp" xfId="11" xr:uid="{00000000-0005-0000-0000-00002B000000}"/>
    <cellStyle name="Derive" xfId="12" xr:uid="{00000000-0005-0000-0000-00002C000000}"/>
    <cellStyle name="Info_Main" xfId="13" xr:uid="{00000000-0005-0000-0000-00002D000000}"/>
    <cellStyle name="Neutral 2" xfId="14" xr:uid="{00000000-0005-0000-0000-00002E000000}"/>
    <cellStyle name="Normal" xfId="0" builtinId="0"/>
    <cellStyle name="Normal - Style1" xfId="15" xr:uid="{00000000-0005-0000-0000-00002F000000}"/>
    <cellStyle name="Normal 10" xfId="16" xr:uid="{00000000-0005-0000-0000-000030000000}"/>
    <cellStyle name="Normal 11" xfId="17" xr:uid="{00000000-0005-0000-0000-000031000000}"/>
    <cellStyle name="Normal 12" xfId="18" xr:uid="{00000000-0005-0000-0000-000032000000}"/>
    <cellStyle name="Normal 13" xfId="19" xr:uid="{00000000-0005-0000-0000-000033000000}"/>
    <cellStyle name="Normal 14" xfId="20" xr:uid="{00000000-0005-0000-0000-000034000000}"/>
    <cellStyle name="Normal 15" xfId="21" xr:uid="{00000000-0005-0000-0000-000035000000}"/>
    <cellStyle name="Normal 16" xfId="1" xr:uid="{00000000-0005-0000-0000-000021000000}"/>
    <cellStyle name="Normal 2" xfId="22" xr:uid="{00000000-0005-0000-0000-000036000000}"/>
    <cellStyle name="Normal 3" xfId="23" xr:uid="{00000000-0005-0000-0000-000037000000}"/>
    <cellStyle name="Normal 4" xfId="24" xr:uid="{00000000-0005-0000-0000-000038000000}"/>
    <cellStyle name="Normal 5" xfId="25" xr:uid="{00000000-0005-0000-0000-000039000000}"/>
    <cellStyle name="Normal 6" xfId="26" xr:uid="{00000000-0005-0000-0000-00003A000000}"/>
    <cellStyle name="Normal 7" xfId="27" xr:uid="{00000000-0005-0000-0000-00003B000000}"/>
    <cellStyle name="Normal 8" xfId="28" xr:uid="{00000000-0005-0000-0000-00003C000000}"/>
    <cellStyle name="Normal 9" xfId="29" xr:uid="{00000000-0005-0000-0000-00003D000000}"/>
    <cellStyle name="Note 2" xfId="30" xr:uid="{00000000-0005-0000-0000-00003E000000}"/>
    <cellStyle name="Shade" xfId="31" xr:uid="{00000000-0005-0000-0000-00003F000000}"/>
    <cellStyle name="Synopsis" xfId="32" xr:uid="{00000000-0005-0000-0000-000040000000}"/>
    <cellStyle name="Title 2" xfId="34" xr:uid="{00000000-0005-0000-0000-000042000000}"/>
    <cellStyle name="Title 3" xfId="33" xr:uid="{00000000-0005-0000-0000-000041000000}"/>
    <cellStyle name="Use_1dp" xfId="35" xr:uid="{00000000-0005-0000-0000-000043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R168"/>
  <sheetViews>
    <sheetView tabSelected="1" topLeftCell="A124" workbookViewId="0">
      <selection activeCell="N137" sqref="N137"/>
    </sheetView>
  </sheetViews>
  <sheetFormatPr defaultRowHeight="15"/>
  <sheetData>
    <row r="1" spans="1:148" ht="18" customHeight="1">
      <c r="A1" s="182" t="s">
        <v>0</v>
      </c>
      <c r="B1" s="116"/>
      <c r="C1" s="116"/>
      <c r="D1" s="116"/>
      <c r="E1" s="116"/>
      <c r="F1" s="116"/>
      <c r="G1" s="116"/>
      <c r="H1" s="116"/>
      <c r="I1" s="116"/>
      <c r="J1" s="116"/>
      <c r="K1" s="116"/>
      <c r="L1" s="117"/>
      <c r="M1" s="16"/>
      <c r="N1" s="16"/>
      <c r="O1" s="12"/>
      <c r="P1" s="12"/>
      <c r="Q1" s="12"/>
      <c r="R1" s="12"/>
      <c r="S1" s="12"/>
      <c r="T1" s="12"/>
      <c r="U1" s="12"/>
      <c r="V1" s="12"/>
      <c r="W1" s="12"/>
      <c r="X1" s="12"/>
      <c r="Y1" s="12"/>
      <c r="Z1" s="12"/>
      <c r="AA1" s="12"/>
      <c r="AB1" s="12"/>
      <c r="AC1" s="12"/>
      <c r="AD1" s="12"/>
      <c r="AE1" s="12"/>
      <c r="AF1" s="12"/>
      <c r="AG1" s="12"/>
      <c r="AH1" s="12"/>
      <c r="AI1" s="12"/>
      <c r="AJ1" s="12"/>
      <c r="AK1" s="12"/>
      <c r="AL1" s="12"/>
      <c r="AM1" s="12"/>
      <c r="AN1" s="12"/>
      <c r="AO1" s="12"/>
      <c r="AP1" s="12"/>
      <c r="AQ1" s="12"/>
      <c r="AR1" s="12"/>
      <c r="AS1" s="12"/>
      <c r="AT1" s="12"/>
      <c r="AU1" s="12"/>
      <c r="AV1" s="12"/>
      <c r="AW1" s="12"/>
      <c r="AX1" s="12"/>
      <c r="AY1" s="12"/>
      <c r="AZ1" s="12"/>
      <c r="BA1" s="12"/>
      <c r="BB1" s="12"/>
      <c r="BC1" s="12"/>
      <c r="BD1" s="12"/>
      <c r="BE1" s="12"/>
      <c r="BF1" s="12"/>
      <c r="BG1" s="12"/>
      <c r="BH1" s="12"/>
      <c r="BI1" s="12"/>
      <c r="BJ1" s="12"/>
      <c r="BK1" s="12"/>
      <c r="BL1" s="12"/>
      <c r="BM1" s="12"/>
      <c r="BN1" s="12"/>
      <c r="BO1" s="12"/>
      <c r="BP1" s="12"/>
      <c r="BQ1" s="12"/>
      <c r="BR1" s="12"/>
      <c r="BS1" s="12"/>
      <c r="BT1" s="12"/>
      <c r="BU1" s="12"/>
      <c r="BV1" s="12"/>
      <c r="BW1" s="12"/>
      <c r="BX1" s="12"/>
      <c r="BY1" s="12"/>
      <c r="BZ1" s="12"/>
      <c r="CA1" s="12"/>
      <c r="CB1" s="12"/>
      <c r="CC1" s="12"/>
      <c r="CD1" s="12"/>
      <c r="CE1" s="12"/>
      <c r="CF1" s="12"/>
      <c r="CG1" s="12"/>
      <c r="CH1" s="12"/>
      <c r="CI1" s="12"/>
      <c r="CJ1" s="12"/>
      <c r="CK1" s="12"/>
      <c r="CL1" s="12"/>
      <c r="CM1" s="12"/>
      <c r="CN1" s="12"/>
      <c r="CO1" s="12"/>
      <c r="CP1" s="12"/>
      <c r="CQ1" s="12"/>
      <c r="CR1" s="12"/>
      <c r="CS1" s="12"/>
      <c r="CT1" s="12"/>
      <c r="CU1" s="12"/>
      <c r="CV1" s="12"/>
      <c r="CW1" s="12"/>
      <c r="CX1" s="12"/>
      <c r="CY1" s="12"/>
      <c r="CZ1" s="12"/>
      <c r="DA1" s="12"/>
      <c r="DB1" s="12"/>
      <c r="DC1" s="12"/>
      <c r="DD1" s="12"/>
      <c r="DE1" s="12"/>
      <c r="DF1" s="12"/>
      <c r="DG1" s="12"/>
      <c r="DH1" s="12"/>
      <c r="DI1" s="12"/>
      <c r="DJ1" s="12"/>
      <c r="DK1" s="12"/>
      <c r="DL1" s="12"/>
      <c r="DM1" s="12"/>
      <c r="DN1" s="12"/>
      <c r="DO1" s="12"/>
      <c r="DP1" s="12"/>
      <c r="DQ1" s="12"/>
      <c r="DR1" s="12"/>
      <c r="DS1" s="12"/>
      <c r="DT1" s="12"/>
      <c r="DU1" s="12"/>
      <c r="DV1" s="12"/>
      <c r="DW1" s="12"/>
      <c r="DX1" s="12"/>
      <c r="DY1" s="12"/>
      <c r="DZ1" s="12"/>
      <c r="EA1" s="12"/>
      <c r="EB1" s="12"/>
      <c r="EC1" s="12"/>
      <c r="ED1" s="12"/>
      <c r="EE1" s="12"/>
      <c r="EF1" s="12"/>
      <c r="EG1" s="12"/>
      <c r="EH1" s="12"/>
      <c r="EI1" s="12"/>
      <c r="EJ1" s="12"/>
      <c r="EK1" s="12"/>
      <c r="EL1" s="12"/>
      <c r="EM1" s="12"/>
      <c r="EN1" s="12"/>
      <c r="EO1" s="12"/>
      <c r="EP1" s="12"/>
      <c r="EQ1" s="12"/>
      <c r="ER1" s="12"/>
    </row>
    <row r="2" spans="1:148">
      <c r="A2" s="145" t="s">
        <v>1</v>
      </c>
      <c r="B2" s="124"/>
      <c r="C2" s="124"/>
      <c r="D2" s="124"/>
      <c r="E2" s="124"/>
      <c r="F2" s="124"/>
      <c r="G2" s="124"/>
      <c r="H2" s="124"/>
      <c r="I2" s="124"/>
      <c r="J2" s="124"/>
      <c r="K2" s="124"/>
      <c r="L2" s="114"/>
      <c r="M2" s="18"/>
      <c r="N2" s="18"/>
      <c r="O2" s="12"/>
      <c r="P2" s="12"/>
      <c r="Q2" s="12"/>
      <c r="R2" s="12"/>
      <c r="S2" s="12"/>
      <c r="T2" s="12"/>
      <c r="U2" s="12"/>
      <c r="V2" s="12"/>
      <c r="W2" s="12"/>
      <c r="X2" s="12"/>
      <c r="Y2" s="12"/>
      <c r="Z2" s="12"/>
      <c r="AA2" s="12"/>
      <c r="AB2" s="12"/>
      <c r="AC2" s="12"/>
      <c r="AD2" s="12"/>
      <c r="AE2" s="12"/>
      <c r="AF2" s="12"/>
      <c r="AG2" s="12"/>
      <c r="AH2" s="12"/>
      <c r="AI2" s="12"/>
      <c r="AJ2" s="12"/>
      <c r="AK2" s="12"/>
      <c r="AL2" s="12"/>
      <c r="AM2" s="12"/>
      <c r="AN2" s="12"/>
      <c r="AO2" s="12"/>
      <c r="AP2" s="12"/>
      <c r="AQ2" s="12"/>
      <c r="AR2" s="12"/>
      <c r="AS2" s="12"/>
      <c r="AT2" s="12"/>
      <c r="AU2" s="12"/>
      <c r="AV2" s="12"/>
      <c r="AW2" s="12"/>
      <c r="AX2" s="12"/>
      <c r="AY2" s="12"/>
      <c r="AZ2" s="12"/>
      <c r="BA2" s="12"/>
      <c r="BB2" s="12"/>
      <c r="BC2" s="12"/>
      <c r="BD2" s="12"/>
      <c r="BE2" s="12"/>
      <c r="BF2" s="12"/>
      <c r="BG2" s="12"/>
      <c r="BH2" s="12"/>
      <c r="BI2" s="12"/>
      <c r="BJ2" s="12"/>
      <c r="BK2" s="12"/>
      <c r="BL2" s="12"/>
      <c r="BM2" s="12"/>
      <c r="BN2" s="12"/>
      <c r="BO2" s="12"/>
      <c r="BP2" s="12"/>
      <c r="BQ2" s="12"/>
      <c r="BR2" s="12"/>
      <c r="BS2" s="12"/>
      <c r="BT2" s="12"/>
      <c r="BU2" s="12"/>
      <c r="BV2" s="12"/>
      <c r="BW2" s="12"/>
      <c r="BX2" s="12"/>
      <c r="BY2" s="12"/>
      <c r="BZ2" s="12"/>
      <c r="CA2" s="12"/>
      <c r="CB2" s="12"/>
      <c r="CC2" s="12"/>
      <c r="CD2" s="12"/>
      <c r="CE2" s="12"/>
      <c r="CF2" s="12"/>
      <c r="CG2" s="12"/>
      <c r="CH2" s="12"/>
      <c r="CI2" s="12"/>
      <c r="CJ2" s="12"/>
      <c r="CK2" s="12"/>
      <c r="CL2" s="12"/>
      <c r="CM2" s="12"/>
      <c r="CN2" s="12"/>
      <c r="CO2" s="12"/>
      <c r="CP2" s="12"/>
      <c r="CQ2" s="12"/>
      <c r="CR2" s="12"/>
      <c r="CS2" s="12"/>
      <c r="CT2" s="12"/>
      <c r="CU2" s="12"/>
      <c r="CV2" s="12"/>
      <c r="CW2" s="12"/>
      <c r="CX2" s="12"/>
      <c r="CY2" s="12"/>
      <c r="CZ2" s="12"/>
      <c r="DA2" s="12"/>
      <c r="DB2" s="12"/>
      <c r="DC2" s="12"/>
      <c r="DD2" s="12"/>
      <c r="DE2" s="12"/>
      <c r="DF2" s="12"/>
      <c r="DG2" s="12"/>
      <c r="DH2" s="12"/>
      <c r="DI2" s="12"/>
      <c r="DJ2" s="12"/>
      <c r="DK2" s="12"/>
      <c r="DL2" s="12"/>
      <c r="DM2" s="12"/>
      <c r="DN2" s="12"/>
      <c r="DO2" s="12"/>
      <c r="DP2" s="12"/>
      <c r="DQ2" s="12"/>
      <c r="DR2" s="12"/>
      <c r="DS2" s="12"/>
      <c r="DT2" s="12"/>
      <c r="DU2" s="12"/>
      <c r="DV2" s="12"/>
      <c r="DW2" s="12"/>
      <c r="DX2" s="12"/>
      <c r="DY2" s="12"/>
      <c r="DZ2" s="12"/>
      <c r="EA2" s="12"/>
      <c r="EB2" s="12"/>
      <c r="EC2" s="12"/>
      <c r="ED2" s="12"/>
      <c r="EE2" s="12"/>
      <c r="EF2" s="12"/>
      <c r="EG2" s="12"/>
      <c r="EH2" s="12"/>
      <c r="EI2" s="12"/>
      <c r="EJ2" s="12"/>
      <c r="EK2" s="12"/>
      <c r="EL2" s="12"/>
      <c r="EM2" s="12"/>
      <c r="EN2" s="12"/>
      <c r="EO2" s="12"/>
      <c r="EP2" s="12"/>
      <c r="EQ2" s="12"/>
      <c r="ER2" s="17"/>
    </row>
    <row r="3" spans="1:148">
      <c r="A3" s="145" t="s">
        <v>2</v>
      </c>
      <c r="B3" s="124"/>
      <c r="C3" s="124"/>
      <c r="D3" s="124"/>
      <c r="E3" s="124"/>
      <c r="F3" s="124"/>
      <c r="G3" s="124"/>
      <c r="H3" s="124"/>
      <c r="I3" s="124"/>
      <c r="J3" s="124"/>
      <c r="K3" s="124"/>
      <c r="L3" s="114"/>
      <c r="M3" s="18"/>
      <c r="N3" s="18"/>
      <c r="O3" s="12"/>
      <c r="P3" s="12"/>
      <c r="Q3" s="12"/>
      <c r="R3" s="12"/>
      <c r="S3" s="12"/>
      <c r="T3" s="12"/>
      <c r="U3" s="12"/>
      <c r="V3" s="12"/>
      <c r="W3" s="12"/>
      <c r="X3" s="12"/>
      <c r="Y3" s="12"/>
      <c r="Z3" s="12"/>
      <c r="AA3" s="12"/>
      <c r="AB3" s="12"/>
      <c r="AC3" s="12"/>
      <c r="AD3" s="12"/>
      <c r="AE3" s="12"/>
      <c r="AF3" s="12"/>
      <c r="AG3" s="12"/>
      <c r="AH3" s="12"/>
      <c r="AI3" s="12"/>
      <c r="AJ3" s="12"/>
      <c r="AK3" s="12"/>
      <c r="AL3" s="12"/>
      <c r="AM3" s="12"/>
      <c r="AN3" s="12"/>
      <c r="AO3" s="12"/>
      <c r="AP3" s="12"/>
      <c r="AQ3" s="12"/>
      <c r="AR3" s="12"/>
      <c r="AS3" s="12"/>
      <c r="AT3" s="12"/>
      <c r="AU3" s="12"/>
      <c r="AV3" s="12"/>
      <c r="AW3" s="12"/>
      <c r="AX3" s="12"/>
      <c r="AY3" s="12"/>
      <c r="AZ3" s="12"/>
      <c r="BA3" s="12"/>
      <c r="BB3" s="12"/>
      <c r="BC3" s="12"/>
      <c r="BD3" s="12"/>
      <c r="BE3" s="12"/>
      <c r="BF3" s="12"/>
      <c r="BG3" s="12"/>
      <c r="BH3" s="12"/>
      <c r="BI3" s="12"/>
      <c r="BJ3" s="12"/>
      <c r="BK3" s="12"/>
      <c r="BL3" s="12"/>
      <c r="BM3" s="12"/>
      <c r="BN3" s="12"/>
      <c r="BO3" s="12"/>
      <c r="BP3" s="12"/>
      <c r="BQ3" s="12"/>
      <c r="BR3" s="12"/>
      <c r="BS3" s="12"/>
      <c r="BT3" s="12"/>
      <c r="BU3" s="12"/>
      <c r="BV3" s="12"/>
      <c r="BW3" s="12"/>
      <c r="BX3" s="12"/>
      <c r="BY3" s="12"/>
      <c r="BZ3" s="12"/>
      <c r="CA3" s="12"/>
      <c r="CB3" s="12"/>
      <c r="CC3" s="12"/>
      <c r="CD3" s="12"/>
      <c r="CE3" s="12"/>
      <c r="CF3" s="12"/>
      <c r="CG3" s="12"/>
      <c r="CH3" s="12"/>
      <c r="CI3" s="12"/>
      <c r="CJ3" s="12"/>
      <c r="CK3" s="12"/>
      <c r="CL3" s="12"/>
      <c r="CM3" s="12"/>
      <c r="CN3" s="12"/>
      <c r="CO3" s="12"/>
      <c r="CP3" s="12"/>
      <c r="CQ3" s="12"/>
      <c r="CR3" s="12"/>
      <c r="CS3" s="12"/>
      <c r="CT3" s="12"/>
      <c r="CU3" s="12"/>
      <c r="CV3" s="12"/>
      <c r="CW3" s="12"/>
      <c r="CX3" s="12"/>
      <c r="CY3" s="12"/>
      <c r="CZ3" s="12"/>
      <c r="DA3" s="12"/>
      <c r="DB3" s="12"/>
      <c r="DC3" s="12"/>
      <c r="DD3" s="12"/>
      <c r="DE3" s="12"/>
      <c r="DF3" s="12"/>
      <c r="DG3" s="12"/>
      <c r="DH3" s="12"/>
      <c r="DI3" s="12"/>
      <c r="DJ3" s="12"/>
      <c r="DK3" s="12"/>
      <c r="DL3" s="12"/>
      <c r="DM3" s="12"/>
      <c r="DN3" s="12"/>
      <c r="DO3" s="12"/>
      <c r="DP3" s="12"/>
      <c r="DQ3" s="12"/>
      <c r="DR3" s="12"/>
      <c r="DS3" s="12"/>
      <c r="DT3" s="12"/>
      <c r="DU3" s="12"/>
      <c r="DV3" s="12"/>
      <c r="DW3" s="12"/>
      <c r="DX3" s="12"/>
      <c r="DY3" s="12"/>
      <c r="DZ3" s="12"/>
      <c r="EA3" s="12"/>
      <c r="EB3" s="12"/>
      <c r="EC3" s="12"/>
      <c r="ED3" s="12"/>
      <c r="EE3" s="12"/>
      <c r="EF3" s="12"/>
      <c r="EG3" s="12"/>
      <c r="EH3" s="12"/>
      <c r="EI3" s="12"/>
      <c r="EJ3" s="12"/>
      <c r="EK3" s="12"/>
      <c r="EL3" s="12"/>
      <c r="EM3" s="12"/>
      <c r="EN3" s="12"/>
      <c r="EO3" s="12"/>
      <c r="EP3" s="12"/>
      <c r="EQ3" s="12"/>
      <c r="ER3" s="12"/>
    </row>
    <row r="4" spans="1:148">
      <c r="A4" s="149" t="s">
        <v>3</v>
      </c>
      <c r="B4" s="124"/>
      <c r="C4" s="124"/>
      <c r="D4" s="124"/>
      <c r="E4" s="124"/>
      <c r="F4" s="124"/>
      <c r="G4" s="124"/>
      <c r="H4" s="124"/>
      <c r="I4" s="124"/>
      <c r="J4" s="124"/>
      <c r="K4" s="124"/>
      <c r="L4" s="114"/>
      <c r="M4" s="19"/>
      <c r="N4" s="19"/>
      <c r="O4" s="12"/>
      <c r="P4" s="12"/>
      <c r="Q4" s="12"/>
      <c r="R4" s="12"/>
      <c r="S4" s="12"/>
      <c r="T4" s="12"/>
      <c r="U4" s="12"/>
      <c r="V4" s="12"/>
      <c r="W4" s="12"/>
      <c r="X4" s="12"/>
      <c r="Y4" s="12"/>
      <c r="Z4" s="12"/>
      <c r="AA4" s="12"/>
      <c r="AB4" s="12"/>
      <c r="AC4" s="12"/>
      <c r="AD4" s="12"/>
      <c r="AE4" s="12"/>
      <c r="AF4" s="12"/>
      <c r="AG4" s="12"/>
      <c r="AH4" s="12"/>
      <c r="AI4" s="12"/>
      <c r="AJ4" s="12"/>
      <c r="AK4" s="12"/>
      <c r="AL4" s="12"/>
      <c r="AM4" s="12"/>
      <c r="AN4" s="12"/>
      <c r="AO4" s="12"/>
      <c r="AP4" s="12"/>
      <c r="AQ4" s="12"/>
      <c r="AR4" s="12"/>
      <c r="AS4" s="12"/>
      <c r="AT4" s="12"/>
      <c r="AU4" s="12"/>
      <c r="AV4" s="12"/>
      <c r="AW4" s="12"/>
      <c r="AX4" s="12"/>
      <c r="AY4" s="12"/>
      <c r="AZ4" s="12"/>
      <c r="BA4" s="12"/>
      <c r="BB4" s="12"/>
      <c r="BC4" s="12"/>
      <c r="BD4" s="12"/>
      <c r="BE4" s="12"/>
      <c r="BF4" s="12"/>
      <c r="BG4" s="12"/>
      <c r="BH4" s="12"/>
      <c r="BI4" s="12"/>
      <c r="BJ4" s="12"/>
      <c r="BK4" s="12"/>
      <c r="BL4" s="12"/>
      <c r="BM4" s="12"/>
      <c r="BN4" s="12"/>
      <c r="BO4" s="12"/>
      <c r="BP4" s="12"/>
      <c r="BQ4" s="12"/>
      <c r="BR4" s="12"/>
      <c r="BS4" s="12"/>
      <c r="BT4" s="12"/>
      <c r="BU4" s="12"/>
      <c r="BV4" s="12"/>
      <c r="BW4" s="12"/>
      <c r="BX4" s="12"/>
      <c r="BY4" s="12"/>
      <c r="BZ4" s="12"/>
      <c r="CA4" s="12"/>
      <c r="CB4" s="12"/>
      <c r="CC4" s="12"/>
      <c r="CD4" s="12"/>
      <c r="CE4" s="12"/>
      <c r="CF4" s="12"/>
      <c r="CG4" s="12"/>
      <c r="CH4" s="12"/>
      <c r="CI4" s="12"/>
      <c r="CJ4" s="12"/>
      <c r="CK4" s="12"/>
      <c r="CL4" s="12"/>
      <c r="CM4" s="12"/>
      <c r="CN4" s="12"/>
      <c r="CO4" s="12"/>
      <c r="CP4" s="12"/>
      <c r="CQ4" s="12"/>
      <c r="CR4" s="12"/>
      <c r="CS4" s="12"/>
      <c r="CT4" s="12"/>
      <c r="CU4" s="12"/>
      <c r="CV4" s="12"/>
      <c r="CW4" s="12"/>
      <c r="CX4" s="12"/>
      <c r="CY4" s="12"/>
      <c r="CZ4" s="12"/>
      <c r="DA4" s="12"/>
      <c r="DB4" s="12"/>
      <c r="DC4" s="12"/>
      <c r="DD4" s="12"/>
      <c r="DE4" s="12"/>
      <c r="DF4" s="12"/>
      <c r="DG4" s="12"/>
      <c r="DH4" s="12"/>
      <c r="DI4" s="12"/>
      <c r="DJ4" s="12"/>
      <c r="DK4" s="12"/>
      <c r="DL4" s="12"/>
      <c r="DM4" s="12"/>
      <c r="DN4" s="12"/>
      <c r="DO4" s="12"/>
      <c r="DP4" s="12"/>
      <c r="DQ4" s="12"/>
      <c r="DR4" s="12"/>
      <c r="DS4" s="12"/>
      <c r="DT4" s="12"/>
      <c r="DU4" s="12"/>
      <c r="DV4" s="12"/>
      <c r="DW4" s="12"/>
      <c r="DX4" s="12"/>
      <c r="DY4" s="12"/>
      <c r="DZ4" s="12"/>
      <c r="EA4" s="12"/>
      <c r="EB4" s="12"/>
      <c r="EC4" s="12"/>
      <c r="ED4" s="12"/>
      <c r="EE4" s="12"/>
      <c r="EF4" s="12"/>
      <c r="EG4" s="12"/>
      <c r="EH4" s="12"/>
      <c r="EI4" s="12"/>
      <c r="EJ4" s="12"/>
      <c r="EK4" s="12"/>
      <c r="EL4" s="12"/>
      <c r="EM4" s="12"/>
      <c r="EN4" s="12"/>
      <c r="EO4" s="12"/>
      <c r="EP4" s="12"/>
      <c r="EQ4" s="12"/>
      <c r="ER4" s="12"/>
    </row>
    <row r="5" spans="1:148">
      <c r="A5" s="149" t="s">
        <v>4</v>
      </c>
      <c r="B5" s="124"/>
      <c r="C5" s="124"/>
      <c r="D5" s="124"/>
      <c r="E5" s="124"/>
      <c r="F5" s="124"/>
      <c r="G5" s="124"/>
      <c r="H5" s="124"/>
      <c r="I5" s="124"/>
      <c r="J5" s="124"/>
      <c r="K5" s="124"/>
      <c r="L5" s="114"/>
      <c r="M5" s="19"/>
      <c r="N5" s="19"/>
      <c r="O5" s="12"/>
      <c r="P5" s="12"/>
      <c r="Q5" s="12"/>
      <c r="R5" s="12"/>
      <c r="S5" s="12"/>
      <c r="T5" s="12"/>
      <c r="U5" s="12"/>
      <c r="V5" s="12"/>
      <c r="W5" s="12"/>
      <c r="X5" s="12"/>
      <c r="Y5" s="12"/>
      <c r="Z5" s="12"/>
      <c r="AA5" s="12"/>
      <c r="AB5" s="12"/>
      <c r="AC5" s="12"/>
      <c r="AD5" s="12"/>
      <c r="AE5" s="12"/>
      <c r="AF5" s="12"/>
      <c r="AG5" s="12"/>
      <c r="AH5" s="12"/>
      <c r="AI5" s="12"/>
      <c r="AJ5" s="12"/>
      <c r="AK5" s="12"/>
      <c r="AL5" s="12"/>
      <c r="AM5" s="12"/>
      <c r="AN5" s="12"/>
      <c r="AO5" s="12"/>
      <c r="AP5" s="12"/>
      <c r="AQ5" s="12"/>
      <c r="AR5" s="12"/>
      <c r="AS5" s="12"/>
      <c r="AT5" s="12"/>
      <c r="AU5" s="12"/>
      <c r="AV5" s="12"/>
      <c r="AW5" s="12"/>
      <c r="AX5" s="12"/>
      <c r="AY5" s="12"/>
      <c r="AZ5" s="12"/>
      <c r="BA5" s="12"/>
      <c r="BB5" s="12"/>
      <c r="BC5" s="12"/>
      <c r="BD5" s="12"/>
      <c r="BE5" s="12"/>
      <c r="BF5" s="12"/>
      <c r="BG5" s="12"/>
      <c r="BH5" s="12"/>
      <c r="BI5" s="12"/>
      <c r="BJ5" s="12"/>
      <c r="BK5" s="12"/>
      <c r="BL5" s="12"/>
      <c r="BM5" s="12"/>
      <c r="BN5" s="12"/>
      <c r="BO5" s="12"/>
      <c r="BP5" s="12"/>
      <c r="BQ5" s="12"/>
      <c r="BR5" s="12"/>
      <c r="BS5" s="12"/>
      <c r="BT5" s="12"/>
      <c r="BU5" s="12"/>
      <c r="BV5" s="12"/>
      <c r="BW5" s="12"/>
      <c r="BX5" s="12"/>
      <c r="BY5" s="12"/>
      <c r="BZ5" s="12"/>
      <c r="CA5" s="12"/>
      <c r="CB5" s="12"/>
      <c r="CC5" s="12"/>
      <c r="CD5" s="12"/>
      <c r="CE5" s="12"/>
      <c r="CF5" s="12"/>
      <c r="CG5" s="12"/>
      <c r="CH5" s="12"/>
      <c r="CI5" s="12"/>
      <c r="CJ5" s="12"/>
      <c r="CK5" s="12"/>
      <c r="CL5" s="12"/>
      <c r="CM5" s="12"/>
      <c r="CN5" s="12"/>
      <c r="CO5" s="12"/>
      <c r="CP5" s="12"/>
      <c r="CQ5" s="12"/>
      <c r="CR5" s="12"/>
      <c r="CS5" s="12"/>
      <c r="CT5" s="12"/>
      <c r="CU5" s="12"/>
      <c r="CV5" s="12"/>
      <c r="CW5" s="12"/>
      <c r="CX5" s="12"/>
      <c r="CY5" s="12"/>
      <c r="CZ5" s="12"/>
      <c r="DA5" s="12"/>
      <c r="DB5" s="12"/>
      <c r="DC5" s="12"/>
      <c r="DD5" s="12"/>
      <c r="DE5" s="12"/>
      <c r="DF5" s="12"/>
      <c r="DG5" s="12"/>
      <c r="DH5" s="12"/>
      <c r="DI5" s="12"/>
      <c r="DJ5" s="12"/>
      <c r="DK5" s="12"/>
      <c r="DL5" s="12"/>
      <c r="DM5" s="12"/>
      <c r="DN5" s="12"/>
      <c r="DO5" s="12"/>
      <c r="DP5" s="12"/>
      <c r="DQ5" s="12"/>
      <c r="DR5" s="12"/>
      <c r="DS5" s="12"/>
      <c r="DT5" s="12"/>
      <c r="DU5" s="12"/>
      <c r="DV5" s="12"/>
      <c r="DW5" s="12"/>
      <c r="DX5" s="12"/>
      <c r="DY5" s="12"/>
      <c r="DZ5" s="12"/>
      <c r="EA5" s="12"/>
      <c r="EB5" s="12"/>
      <c r="EC5" s="12"/>
      <c r="ED5" s="12"/>
      <c r="EE5" s="12"/>
      <c r="EF5" s="12"/>
      <c r="EG5" s="12"/>
      <c r="EH5" s="12"/>
      <c r="EI5" s="12"/>
      <c r="EJ5" s="12"/>
      <c r="EK5" s="12"/>
      <c r="EL5" s="12"/>
      <c r="EM5" s="12"/>
      <c r="EN5" s="12"/>
      <c r="EO5" s="12"/>
      <c r="EP5" s="12"/>
      <c r="EQ5" s="12"/>
      <c r="ER5" s="12"/>
    </row>
    <row r="6" spans="1:148">
      <c r="A6" s="20"/>
      <c r="B6" s="21"/>
      <c r="C6" s="21"/>
      <c r="D6" s="21"/>
      <c r="E6" s="21"/>
      <c r="F6" s="21"/>
      <c r="G6" s="21"/>
      <c r="H6" s="21"/>
      <c r="I6" s="21"/>
      <c r="J6" s="21"/>
      <c r="K6" s="21"/>
      <c r="L6" s="22"/>
      <c r="M6" s="23"/>
      <c r="N6" s="23"/>
      <c r="O6" s="12"/>
      <c r="P6" s="12"/>
      <c r="Q6" s="12"/>
      <c r="R6" s="12"/>
      <c r="S6" s="12"/>
      <c r="T6" s="12"/>
      <c r="U6" s="12"/>
      <c r="V6" s="12"/>
      <c r="W6" s="12"/>
      <c r="X6" s="12"/>
      <c r="Y6" s="12"/>
      <c r="Z6" s="12"/>
      <c r="AA6" s="12"/>
      <c r="AB6" s="12"/>
      <c r="AC6" s="12"/>
      <c r="AD6" s="12"/>
      <c r="AE6" s="12"/>
      <c r="AF6" s="12"/>
      <c r="AG6" s="12"/>
      <c r="AH6" s="12"/>
      <c r="AI6" s="12"/>
      <c r="AJ6" s="12"/>
      <c r="AK6" s="12"/>
      <c r="AL6" s="12"/>
      <c r="AM6" s="12"/>
      <c r="AN6" s="12"/>
      <c r="AO6" s="12"/>
      <c r="AP6" s="12"/>
      <c r="AQ6" s="12"/>
      <c r="AR6" s="12"/>
      <c r="AS6" s="12"/>
      <c r="AT6" s="12"/>
      <c r="AU6" s="12"/>
      <c r="AV6" s="12"/>
      <c r="AW6" s="12"/>
      <c r="AX6" s="12"/>
      <c r="AY6" s="12"/>
      <c r="AZ6" s="12"/>
      <c r="BA6" s="12"/>
      <c r="BB6" s="12"/>
      <c r="BC6" s="12"/>
      <c r="BD6" s="12"/>
      <c r="BE6" s="12"/>
      <c r="BF6" s="12"/>
      <c r="BG6" s="12"/>
      <c r="BH6" s="12"/>
      <c r="BI6" s="12"/>
      <c r="BJ6" s="12"/>
      <c r="BK6" s="12"/>
      <c r="BL6" s="12"/>
      <c r="BM6" s="12"/>
      <c r="BN6" s="12"/>
      <c r="BO6" s="12"/>
      <c r="BP6" s="12"/>
      <c r="BQ6" s="12"/>
      <c r="BR6" s="12"/>
      <c r="BS6" s="12"/>
      <c r="BT6" s="12"/>
      <c r="BU6" s="12"/>
      <c r="BV6" s="12"/>
      <c r="BW6" s="12"/>
      <c r="BX6" s="12"/>
      <c r="BY6" s="12"/>
      <c r="BZ6" s="12"/>
      <c r="CA6" s="12"/>
      <c r="CB6" s="12"/>
      <c r="CC6" s="12"/>
      <c r="CD6" s="12"/>
      <c r="CE6" s="12"/>
      <c r="CF6" s="12"/>
      <c r="CG6" s="12"/>
      <c r="CH6" s="12"/>
      <c r="CI6" s="12"/>
      <c r="CJ6" s="12"/>
      <c r="CK6" s="12"/>
      <c r="CL6" s="12"/>
      <c r="CM6" s="12"/>
      <c r="CN6" s="12"/>
      <c r="CO6" s="12"/>
      <c r="CP6" s="12"/>
      <c r="CQ6" s="12"/>
      <c r="CR6" s="12"/>
      <c r="CS6" s="12"/>
      <c r="CT6" s="12"/>
      <c r="CU6" s="12"/>
      <c r="CV6" s="12"/>
      <c r="CW6" s="12"/>
      <c r="CX6" s="12"/>
      <c r="CY6" s="12"/>
      <c r="CZ6" s="12"/>
      <c r="DA6" s="12"/>
      <c r="DB6" s="12"/>
      <c r="DC6" s="12"/>
      <c r="DD6" s="12"/>
      <c r="DE6" s="12"/>
      <c r="DF6" s="12"/>
      <c r="DG6" s="12"/>
      <c r="DH6" s="12"/>
      <c r="DI6" s="12"/>
      <c r="DJ6" s="12"/>
      <c r="DK6" s="12"/>
      <c r="DL6" s="12"/>
      <c r="DM6" s="12"/>
      <c r="DN6" s="12"/>
      <c r="DO6" s="12"/>
      <c r="DP6" s="12"/>
      <c r="DQ6" s="12"/>
      <c r="DR6" s="12"/>
      <c r="DS6" s="12"/>
      <c r="DT6" s="12"/>
      <c r="DU6" s="12"/>
      <c r="DV6" s="12"/>
      <c r="DW6" s="12"/>
      <c r="DX6" s="12"/>
      <c r="DY6" s="12"/>
      <c r="DZ6" s="12"/>
      <c r="EA6" s="12"/>
      <c r="EB6" s="12"/>
      <c r="EC6" s="12"/>
      <c r="ED6" s="12"/>
      <c r="EE6" s="12"/>
      <c r="EF6" s="12"/>
      <c r="EG6" s="12"/>
      <c r="EH6" s="12"/>
      <c r="EI6" s="12"/>
      <c r="EJ6" s="12"/>
      <c r="EK6" s="12"/>
      <c r="EL6" s="12"/>
      <c r="EM6" s="12"/>
      <c r="EN6" s="12"/>
      <c r="EO6" s="12"/>
      <c r="EP6" s="12"/>
      <c r="EQ6" s="12"/>
      <c r="ER6" s="12"/>
    </row>
    <row r="7" spans="1:148">
      <c r="A7" s="139" t="s">
        <v>5</v>
      </c>
      <c r="B7" s="116"/>
      <c r="C7" s="116"/>
      <c r="D7" s="116"/>
      <c r="E7" s="116"/>
      <c r="F7" s="117"/>
      <c r="G7" s="139" t="s">
        <v>6</v>
      </c>
      <c r="H7" s="116"/>
      <c r="I7" s="116"/>
      <c r="J7" s="116"/>
      <c r="K7" s="116"/>
      <c r="L7" s="117"/>
      <c r="M7" s="18"/>
      <c r="N7" s="18"/>
      <c r="O7" s="12"/>
      <c r="P7" s="12"/>
      <c r="Q7" s="12"/>
      <c r="R7" s="12"/>
      <c r="S7" s="12"/>
      <c r="T7" s="12"/>
      <c r="U7" s="12"/>
      <c r="V7" s="12"/>
      <c r="W7" s="12"/>
      <c r="X7" s="12"/>
      <c r="Y7" s="12"/>
      <c r="Z7" s="12"/>
      <c r="AA7" s="12"/>
      <c r="AB7" s="12"/>
      <c r="AC7" s="12"/>
      <c r="AD7" s="12"/>
      <c r="AE7" s="12"/>
      <c r="AF7" s="12"/>
      <c r="AG7" s="12"/>
      <c r="AH7" s="12"/>
      <c r="AI7" s="12"/>
      <c r="AJ7" s="12"/>
      <c r="AK7" s="12"/>
      <c r="AL7" s="12"/>
      <c r="AM7" s="12"/>
      <c r="AN7" s="12"/>
      <c r="AO7" s="12"/>
      <c r="AP7" s="12"/>
      <c r="AQ7" s="12"/>
      <c r="AR7" s="12"/>
      <c r="AS7" s="12"/>
      <c r="AT7" s="12"/>
      <c r="AU7" s="12"/>
      <c r="AV7" s="12"/>
      <c r="AW7" s="12"/>
      <c r="AX7" s="12"/>
      <c r="AY7" s="12"/>
      <c r="AZ7" s="12"/>
      <c r="BA7" s="12"/>
      <c r="BB7" s="12"/>
      <c r="BC7" s="12"/>
      <c r="BD7" s="12"/>
      <c r="BE7" s="12"/>
      <c r="BF7" s="12"/>
      <c r="BG7" s="12"/>
      <c r="BH7" s="12"/>
      <c r="BI7" s="12"/>
      <c r="BJ7" s="12"/>
      <c r="BK7" s="12"/>
      <c r="BL7" s="12"/>
      <c r="BM7" s="12"/>
      <c r="BN7" s="12"/>
      <c r="BO7" s="12"/>
      <c r="BP7" s="12"/>
      <c r="BQ7" s="12"/>
      <c r="BR7" s="12"/>
      <c r="BS7" s="12"/>
      <c r="BT7" s="12"/>
      <c r="BU7" s="12"/>
      <c r="BV7" s="12"/>
      <c r="BW7" s="12"/>
      <c r="BX7" s="12"/>
      <c r="BY7" s="12"/>
      <c r="BZ7" s="12"/>
      <c r="CA7" s="12"/>
      <c r="CB7" s="12"/>
      <c r="CC7" s="12"/>
      <c r="CD7" s="12"/>
      <c r="CE7" s="12"/>
      <c r="CF7" s="12"/>
      <c r="CG7" s="12"/>
      <c r="CH7" s="12"/>
      <c r="CI7" s="12"/>
      <c r="CJ7" s="12"/>
      <c r="CK7" s="12"/>
      <c r="CL7" s="12"/>
      <c r="CM7" s="12"/>
      <c r="CN7" s="12"/>
      <c r="CO7" s="12"/>
      <c r="CP7" s="12"/>
      <c r="CQ7" s="12"/>
      <c r="CR7" s="12"/>
      <c r="CS7" s="12"/>
      <c r="CT7" s="12"/>
      <c r="CU7" s="12"/>
      <c r="CV7" s="12"/>
      <c r="CW7" s="12"/>
      <c r="CX7" s="12"/>
      <c r="CY7" s="12"/>
      <c r="CZ7" s="12"/>
      <c r="DA7" s="12"/>
      <c r="DB7" s="12"/>
      <c r="DC7" s="12"/>
      <c r="DD7" s="12"/>
      <c r="DE7" s="12"/>
      <c r="DF7" s="12"/>
      <c r="DG7" s="12"/>
      <c r="DH7" s="12"/>
      <c r="DI7" s="12"/>
      <c r="DJ7" s="12"/>
      <c r="DK7" s="12"/>
      <c r="DL7" s="12"/>
      <c r="DM7" s="12"/>
      <c r="DN7" s="12"/>
      <c r="DO7" s="12"/>
      <c r="DP7" s="12"/>
      <c r="DQ7" s="12"/>
      <c r="DR7" s="12"/>
      <c r="DS7" s="12"/>
      <c r="DT7" s="12"/>
      <c r="DU7" s="12"/>
      <c r="DV7" s="12"/>
      <c r="DW7" s="12"/>
      <c r="DX7" s="12"/>
      <c r="DY7" s="12"/>
      <c r="DZ7" s="12"/>
      <c r="EA7" s="12"/>
      <c r="EB7" s="12"/>
      <c r="EC7" s="12"/>
      <c r="ED7" s="12"/>
      <c r="EE7" s="12"/>
      <c r="EF7" s="12"/>
      <c r="EG7" s="12"/>
      <c r="EH7" s="12"/>
      <c r="EI7" s="12"/>
      <c r="EJ7" s="12"/>
      <c r="EK7" s="12"/>
      <c r="EL7" s="12"/>
      <c r="EM7" s="12"/>
      <c r="EN7" s="12"/>
      <c r="EO7" s="12"/>
      <c r="EP7" s="12"/>
      <c r="EQ7" s="12"/>
      <c r="ER7" s="12"/>
    </row>
    <row r="8" spans="1:148">
      <c r="A8" s="138" t="s">
        <v>7</v>
      </c>
      <c r="B8" s="124"/>
      <c r="C8" s="124"/>
      <c r="D8" s="124"/>
      <c r="E8" s="124"/>
      <c r="F8" s="114"/>
      <c r="G8" s="138" t="s">
        <v>8</v>
      </c>
      <c r="H8" s="124"/>
      <c r="I8" s="124"/>
      <c r="J8" s="124"/>
      <c r="K8" s="124"/>
      <c r="L8" s="114"/>
      <c r="M8" s="25"/>
      <c r="N8" s="25"/>
      <c r="O8" s="12"/>
      <c r="P8" s="12"/>
      <c r="Q8" s="12"/>
      <c r="R8" s="12"/>
      <c r="S8" s="12"/>
      <c r="T8" s="12"/>
      <c r="U8" s="12"/>
      <c r="V8" s="12"/>
      <c r="W8" s="12"/>
      <c r="X8" s="12"/>
      <c r="Y8" s="12"/>
      <c r="Z8" s="12"/>
      <c r="AA8" s="12"/>
      <c r="AB8" s="12"/>
      <c r="AC8" s="12"/>
      <c r="AD8" s="12"/>
      <c r="AE8" s="12"/>
      <c r="AF8" s="12"/>
      <c r="AG8" s="12"/>
      <c r="AH8" s="12"/>
      <c r="AI8" s="12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  <c r="BG8" s="12"/>
      <c r="BH8" s="12"/>
      <c r="BI8" s="12"/>
      <c r="BJ8" s="12"/>
      <c r="BK8" s="12"/>
      <c r="BL8" s="12"/>
      <c r="BM8" s="12"/>
      <c r="BN8" s="12"/>
      <c r="BO8" s="12"/>
      <c r="BP8" s="12"/>
      <c r="BQ8" s="12"/>
      <c r="BR8" s="12"/>
      <c r="BS8" s="12"/>
      <c r="BT8" s="12"/>
      <c r="BU8" s="12"/>
      <c r="BV8" s="12"/>
      <c r="BW8" s="12"/>
      <c r="BX8" s="12"/>
      <c r="BY8" s="12"/>
      <c r="BZ8" s="12"/>
      <c r="CA8" s="12"/>
      <c r="CB8" s="12"/>
      <c r="CC8" s="12"/>
      <c r="CD8" s="12"/>
      <c r="CE8" s="12"/>
      <c r="CF8" s="12"/>
      <c r="CG8" s="12"/>
      <c r="CH8" s="12"/>
      <c r="CI8" s="12"/>
      <c r="CJ8" s="12"/>
      <c r="CK8" s="12"/>
      <c r="CL8" s="12"/>
      <c r="CM8" s="12"/>
      <c r="CN8" s="12"/>
      <c r="CO8" s="12"/>
      <c r="CP8" s="12"/>
      <c r="CQ8" s="12"/>
      <c r="CR8" s="12"/>
      <c r="CS8" s="12"/>
      <c r="CT8" s="12"/>
      <c r="CU8" s="12"/>
      <c r="CV8" s="12"/>
      <c r="CW8" s="12"/>
      <c r="CX8" s="12"/>
      <c r="CY8" s="12"/>
      <c r="CZ8" s="12"/>
      <c r="DA8" s="12"/>
      <c r="DB8" s="12"/>
      <c r="DC8" s="12"/>
      <c r="DD8" s="12"/>
      <c r="DE8" s="12"/>
      <c r="DF8" s="12"/>
      <c r="DG8" s="12"/>
      <c r="DH8" s="12"/>
      <c r="DI8" s="12"/>
      <c r="DJ8" s="12"/>
      <c r="DK8" s="12"/>
      <c r="DL8" s="12"/>
      <c r="DM8" s="12"/>
      <c r="DN8" s="12"/>
      <c r="DO8" s="12"/>
      <c r="DP8" s="12"/>
      <c r="DQ8" s="12"/>
      <c r="DR8" s="12"/>
      <c r="DS8" s="12"/>
      <c r="DT8" s="12"/>
      <c r="DU8" s="12"/>
      <c r="DV8" s="12"/>
      <c r="DW8" s="12"/>
      <c r="DX8" s="12"/>
      <c r="DY8" s="12"/>
      <c r="DZ8" s="12"/>
      <c r="EA8" s="12"/>
      <c r="EB8" s="12"/>
      <c r="EC8" s="12"/>
      <c r="ED8" s="12"/>
      <c r="EE8" s="12"/>
      <c r="EF8" s="12"/>
      <c r="EG8" s="12"/>
      <c r="EH8" s="12"/>
      <c r="EI8" s="12"/>
      <c r="EJ8" s="12"/>
      <c r="EK8" s="12"/>
      <c r="EL8" s="12"/>
      <c r="EM8" s="12"/>
      <c r="EN8" s="12"/>
      <c r="EO8" s="12"/>
      <c r="EP8" s="12"/>
      <c r="EQ8" s="12"/>
      <c r="ER8" s="12"/>
    </row>
    <row r="9" spans="1:148">
      <c r="A9" s="138" t="s">
        <v>9</v>
      </c>
      <c r="B9" s="124"/>
      <c r="C9" s="124"/>
      <c r="D9" s="124"/>
      <c r="E9" s="124"/>
      <c r="F9" s="114"/>
      <c r="G9" s="138" t="s">
        <v>10</v>
      </c>
      <c r="H9" s="124"/>
      <c r="I9" s="124"/>
      <c r="J9" s="124"/>
      <c r="K9" s="124"/>
      <c r="L9" s="114"/>
      <c r="M9" s="26"/>
      <c r="N9" s="26"/>
      <c r="O9" s="12"/>
      <c r="P9" s="12"/>
      <c r="Q9" s="12"/>
      <c r="R9" s="12"/>
      <c r="S9" s="12"/>
      <c r="T9" s="12"/>
      <c r="U9" s="12"/>
      <c r="V9" s="12"/>
      <c r="W9" s="12"/>
      <c r="X9" s="12"/>
      <c r="Y9" s="12"/>
      <c r="Z9" s="12"/>
      <c r="AA9" s="12"/>
      <c r="AB9" s="12"/>
      <c r="AC9" s="12"/>
      <c r="AD9" s="12"/>
      <c r="AE9" s="12"/>
      <c r="AF9" s="12"/>
      <c r="AG9" s="12"/>
      <c r="AH9" s="12"/>
      <c r="AI9" s="12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  <c r="BG9" s="12"/>
      <c r="BH9" s="12"/>
      <c r="BI9" s="12"/>
      <c r="BJ9" s="12"/>
      <c r="BK9" s="12"/>
      <c r="BL9" s="12"/>
      <c r="BM9" s="12"/>
      <c r="BN9" s="12"/>
      <c r="BO9" s="12"/>
      <c r="BP9" s="12"/>
      <c r="BQ9" s="12"/>
      <c r="BR9" s="12"/>
      <c r="BS9" s="12"/>
      <c r="BT9" s="12"/>
      <c r="BU9" s="12"/>
      <c r="BV9" s="12"/>
      <c r="BW9" s="12"/>
      <c r="BX9" s="12"/>
      <c r="BY9" s="12"/>
      <c r="BZ9" s="12"/>
      <c r="CA9" s="12"/>
      <c r="CB9" s="12"/>
      <c r="CC9" s="12"/>
      <c r="CD9" s="12"/>
      <c r="CE9" s="12"/>
      <c r="CF9" s="12"/>
      <c r="CG9" s="12"/>
      <c r="CH9" s="12"/>
      <c r="CI9" s="12"/>
      <c r="CJ9" s="12"/>
      <c r="CK9" s="12"/>
      <c r="CL9" s="12"/>
      <c r="CM9" s="12"/>
      <c r="CN9" s="12"/>
      <c r="CO9" s="12"/>
      <c r="CP9" s="12"/>
      <c r="CQ9" s="12"/>
      <c r="CR9" s="12"/>
      <c r="CS9" s="12"/>
      <c r="CT9" s="12"/>
      <c r="CU9" s="12"/>
      <c r="CV9" s="12"/>
      <c r="CW9" s="12"/>
      <c r="CX9" s="12"/>
      <c r="CY9" s="12"/>
      <c r="CZ9" s="12"/>
      <c r="DA9" s="12"/>
      <c r="DB9" s="12"/>
      <c r="DC9" s="12"/>
      <c r="DD9" s="12"/>
      <c r="DE9" s="12"/>
      <c r="DF9" s="12"/>
      <c r="DG9" s="12"/>
      <c r="DH9" s="12"/>
      <c r="DI9" s="12"/>
      <c r="DJ9" s="12"/>
      <c r="DK9" s="12"/>
      <c r="DL9" s="12"/>
      <c r="DM9" s="12"/>
      <c r="DN9" s="12"/>
      <c r="DO9" s="12"/>
      <c r="DP9" s="12"/>
      <c r="DQ9" s="12"/>
      <c r="DR9" s="12"/>
      <c r="DS9" s="12"/>
      <c r="DT9" s="12"/>
      <c r="DU9" s="12"/>
      <c r="DV9" s="12"/>
      <c r="DW9" s="12"/>
      <c r="DX9" s="12"/>
      <c r="DY9" s="12"/>
      <c r="DZ9" s="12"/>
      <c r="EA9" s="12"/>
      <c r="EB9" s="12"/>
      <c r="EC9" s="12"/>
      <c r="ED9" s="12"/>
      <c r="EE9" s="12"/>
      <c r="EF9" s="12"/>
      <c r="EG9" s="12"/>
      <c r="EH9" s="12"/>
      <c r="EI9" s="12"/>
      <c r="EJ9" s="12"/>
      <c r="EK9" s="12"/>
      <c r="EL9" s="12"/>
      <c r="EM9" s="12"/>
      <c r="EN9" s="12"/>
      <c r="EO9" s="12"/>
      <c r="EP9" s="12"/>
      <c r="EQ9" s="12"/>
      <c r="ER9" s="12"/>
    </row>
    <row r="10" spans="1:148">
      <c r="A10" s="138" t="s">
        <v>11</v>
      </c>
      <c r="B10" s="124"/>
      <c r="C10" s="124"/>
      <c r="D10" s="124"/>
      <c r="E10" s="124"/>
      <c r="F10" s="114"/>
      <c r="G10" s="138"/>
      <c r="H10" s="124"/>
      <c r="I10" s="124"/>
      <c r="J10" s="124"/>
      <c r="K10" s="124"/>
      <c r="L10" s="114"/>
      <c r="M10" s="25"/>
      <c r="N10" s="25"/>
      <c r="O10" s="12"/>
      <c r="P10" s="12"/>
      <c r="Q10" s="12"/>
      <c r="R10" s="12"/>
      <c r="S10" s="12"/>
      <c r="T10" s="12"/>
      <c r="U10" s="12"/>
      <c r="V10" s="12"/>
      <c r="W10" s="12"/>
      <c r="X10" s="12"/>
      <c r="Y10" s="12"/>
      <c r="Z10" s="12"/>
      <c r="AA10" s="12"/>
      <c r="AB10" s="12"/>
      <c r="AC10" s="12"/>
      <c r="AD10" s="12"/>
      <c r="AE10" s="12"/>
      <c r="AF10" s="12"/>
      <c r="AG10" s="12"/>
      <c r="AH10" s="12"/>
      <c r="AI10" s="12"/>
      <c r="AJ10" s="12"/>
      <c r="AK10" s="12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  <c r="BG10" s="12"/>
      <c r="BH10" s="12"/>
      <c r="BI10" s="12"/>
      <c r="BJ10" s="12"/>
      <c r="BK10" s="12"/>
      <c r="BL10" s="12"/>
      <c r="BM10" s="12"/>
      <c r="BN10" s="12"/>
      <c r="BO10" s="12"/>
      <c r="BP10" s="12"/>
      <c r="BQ10" s="12"/>
      <c r="BR10" s="12"/>
      <c r="BS10" s="12"/>
      <c r="BT10" s="12"/>
      <c r="BU10" s="12"/>
      <c r="BV10" s="12"/>
      <c r="BW10" s="12"/>
      <c r="BX10" s="12"/>
      <c r="BY10" s="12"/>
      <c r="BZ10" s="12"/>
      <c r="CA10" s="12"/>
      <c r="CB10" s="12"/>
      <c r="CC10" s="12"/>
      <c r="CD10" s="12"/>
      <c r="CE10" s="12"/>
      <c r="CF10" s="12"/>
      <c r="CG10" s="12"/>
      <c r="CH10" s="12"/>
      <c r="CI10" s="12"/>
      <c r="CJ10" s="12"/>
      <c r="CK10" s="12"/>
      <c r="CL10" s="12"/>
      <c r="CM10" s="12"/>
      <c r="CN10" s="12"/>
      <c r="CO10" s="12"/>
      <c r="CP10" s="12"/>
      <c r="CQ10" s="12"/>
      <c r="CR10" s="12"/>
      <c r="CS10" s="12"/>
      <c r="CT10" s="12"/>
      <c r="CU10" s="12"/>
      <c r="CV10" s="12"/>
      <c r="CW10" s="12"/>
      <c r="CX10" s="12"/>
      <c r="CY10" s="12"/>
      <c r="CZ10" s="12"/>
      <c r="DA10" s="12"/>
      <c r="DB10" s="12"/>
      <c r="DC10" s="12"/>
      <c r="DD10" s="12"/>
      <c r="DE10" s="12"/>
      <c r="DF10" s="12"/>
      <c r="DG10" s="12"/>
      <c r="DH10" s="12"/>
      <c r="DI10" s="12"/>
      <c r="DJ10" s="12"/>
      <c r="DK10" s="12"/>
      <c r="DL10" s="12"/>
      <c r="DM10" s="12"/>
      <c r="DN10" s="12"/>
      <c r="DO10" s="12"/>
      <c r="DP10" s="12"/>
      <c r="DQ10" s="12"/>
      <c r="DR10" s="12"/>
      <c r="DS10" s="12"/>
      <c r="DT10" s="12"/>
      <c r="DU10" s="12"/>
      <c r="DV10" s="12"/>
      <c r="DW10" s="12"/>
      <c r="DX10" s="12"/>
      <c r="DY10" s="12"/>
      <c r="DZ10" s="12"/>
      <c r="EA10" s="12"/>
      <c r="EB10" s="12"/>
      <c r="EC10" s="12"/>
      <c r="ED10" s="12"/>
      <c r="EE10" s="12"/>
      <c r="EF10" s="12"/>
      <c r="EG10" s="12"/>
      <c r="EH10" s="12"/>
      <c r="EI10" s="12"/>
      <c r="EJ10" s="12"/>
      <c r="EK10" s="12"/>
      <c r="EL10" s="12"/>
      <c r="EM10" s="12"/>
      <c r="EN10" s="12"/>
      <c r="EO10" s="12"/>
      <c r="EP10" s="12"/>
      <c r="EQ10" s="12"/>
      <c r="ER10" s="12"/>
    </row>
    <row r="11" spans="1:148">
      <c r="A11" s="138" t="s">
        <v>12</v>
      </c>
      <c r="B11" s="124"/>
      <c r="C11" s="124"/>
      <c r="D11" s="124"/>
      <c r="E11" s="124"/>
      <c r="F11" s="114"/>
      <c r="G11" s="138"/>
      <c r="H11" s="124"/>
      <c r="I11" s="124"/>
      <c r="J11" s="124"/>
      <c r="K11" s="124"/>
      <c r="L11" s="114"/>
      <c r="M11" s="25"/>
      <c r="N11" s="25"/>
      <c r="O11" s="12"/>
      <c r="P11" s="12"/>
      <c r="Q11" s="12"/>
      <c r="R11" s="12"/>
      <c r="S11" s="12"/>
      <c r="T11" s="12"/>
      <c r="U11" s="12"/>
      <c r="V11" s="12"/>
      <c r="W11" s="12"/>
      <c r="X11" s="12"/>
      <c r="Y11" s="12"/>
      <c r="Z11" s="12"/>
      <c r="AA11" s="12"/>
      <c r="AB11" s="12"/>
      <c r="AC11" s="12"/>
      <c r="AD11" s="12"/>
      <c r="AE11" s="12"/>
      <c r="AF11" s="12"/>
      <c r="AG11" s="12"/>
      <c r="AH11" s="12"/>
      <c r="AI11" s="12"/>
      <c r="AJ11" s="12"/>
      <c r="AK11" s="12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  <c r="BG11" s="12"/>
      <c r="BH11" s="12"/>
      <c r="BI11" s="12"/>
      <c r="BJ11" s="12"/>
      <c r="BK11" s="12"/>
      <c r="BL11" s="12"/>
      <c r="BM11" s="12"/>
      <c r="BN11" s="12"/>
      <c r="BO11" s="12"/>
      <c r="BP11" s="12"/>
      <c r="BQ11" s="12"/>
      <c r="BR11" s="12"/>
      <c r="BS11" s="12"/>
      <c r="BT11" s="12"/>
      <c r="BU11" s="12"/>
      <c r="BV11" s="12"/>
      <c r="BW11" s="12"/>
      <c r="BX11" s="12"/>
      <c r="BY11" s="12"/>
      <c r="BZ11" s="12"/>
      <c r="CA11" s="12"/>
      <c r="CB11" s="12"/>
      <c r="CC11" s="12"/>
      <c r="CD11" s="12"/>
      <c r="CE11" s="12"/>
      <c r="CF11" s="12"/>
      <c r="CG11" s="12"/>
      <c r="CH11" s="12"/>
      <c r="CI11" s="12"/>
      <c r="CJ11" s="12"/>
      <c r="CK11" s="12"/>
      <c r="CL11" s="12"/>
      <c r="CM11" s="12"/>
      <c r="CN11" s="12"/>
      <c r="CO11" s="12"/>
      <c r="CP11" s="12"/>
      <c r="CQ11" s="12"/>
      <c r="CR11" s="12"/>
      <c r="CS11" s="12"/>
      <c r="CT11" s="12"/>
      <c r="CU11" s="12"/>
      <c r="CV11" s="12"/>
      <c r="CW11" s="12"/>
      <c r="CX11" s="12"/>
      <c r="CY11" s="12"/>
      <c r="CZ11" s="12"/>
      <c r="DA11" s="12"/>
      <c r="DB11" s="12"/>
      <c r="DC11" s="12"/>
      <c r="DD11" s="12"/>
      <c r="DE11" s="12"/>
      <c r="DF11" s="12"/>
      <c r="DG11" s="12"/>
      <c r="DH11" s="12"/>
      <c r="DI11" s="12"/>
      <c r="DJ11" s="12"/>
      <c r="DK11" s="12"/>
      <c r="DL11" s="12"/>
      <c r="DM11" s="12"/>
      <c r="DN11" s="12"/>
      <c r="DO11" s="12"/>
      <c r="DP11" s="12"/>
      <c r="DQ11" s="12"/>
      <c r="DR11" s="12"/>
      <c r="DS11" s="12"/>
      <c r="DT11" s="12"/>
      <c r="DU11" s="12"/>
      <c r="DV11" s="12"/>
      <c r="DW11" s="12"/>
      <c r="DX11" s="12"/>
      <c r="DY11" s="12"/>
      <c r="DZ11" s="12"/>
      <c r="EA11" s="12"/>
      <c r="EB11" s="12"/>
      <c r="EC11" s="12"/>
      <c r="ED11" s="12"/>
      <c r="EE11" s="12"/>
      <c r="EF11" s="12"/>
      <c r="EG11" s="12"/>
      <c r="EH11" s="12"/>
      <c r="EI11" s="12"/>
      <c r="EJ11" s="12"/>
      <c r="EK11" s="12"/>
      <c r="EL11" s="12"/>
      <c r="EM11" s="12"/>
      <c r="EN11" s="12"/>
      <c r="EO11" s="12"/>
      <c r="EP11" s="12"/>
      <c r="EQ11" s="12"/>
      <c r="ER11" s="12"/>
    </row>
    <row r="12" spans="1:148">
      <c r="A12" s="107" t="s">
        <v>13</v>
      </c>
      <c r="B12" s="108"/>
      <c r="C12" s="109"/>
      <c r="D12" s="107" t="s">
        <v>14</v>
      </c>
      <c r="E12" s="108"/>
      <c r="F12" s="109"/>
      <c r="G12" s="107" t="s">
        <v>15</v>
      </c>
      <c r="H12" s="108"/>
      <c r="I12" s="108"/>
      <c r="J12" s="108"/>
      <c r="K12" s="108"/>
      <c r="L12" s="109"/>
      <c r="M12" s="18"/>
      <c r="N12" s="18"/>
      <c r="O12" s="12"/>
      <c r="P12" s="12"/>
      <c r="Q12" s="12"/>
      <c r="R12" s="12"/>
      <c r="S12" s="12"/>
      <c r="T12" s="12"/>
      <c r="U12" s="12"/>
      <c r="V12" s="12"/>
      <c r="W12" s="12"/>
      <c r="X12" s="12"/>
      <c r="Y12" s="12"/>
      <c r="Z12" s="12"/>
      <c r="AA12" s="12"/>
      <c r="AB12" s="12"/>
      <c r="AC12" s="12"/>
      <c r="AD12" s="12"/>
      <c r="AE12" s="12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  <c r="BI12" s="12"/>
      <c r="BJ12" s="12"/>
      <c r="BK12" s="12"/>
      <c r="BL12" s="12"/>
      <c r="BM12" s="12"/>
      <c r="BN12" s="12"/>
      <c r="BO12" s="12"/>
      <c r="BP12" s="12"/>
      <c r="BQ12" s="12"/>
      <c r="BR12" s="12"/>
      <c r="BS12" s="12"/>
      <c r="BT12" s="12"/>
      <c r="BU12" s="12"/>
      <c r="BV12" s="12"/>
      <c r="BW12" s="12"/>
      <c r="BX12" s="12"/>
      <c r="BY12" s="12"/>
      <c r="BZ12" s="12"/>
      <c r="CA12" s="12"/>
      <c r="CB12" s="12"/>
      <c r="CC12" s="12"/>
      <c r="CD12" s="12"/>
      <c r="CE12" s="12"/>
      <c r="CF12" s="12"/>
      <c r="CG12" s="12"/>
      <c r="CH12" s="12"/>
      <c r="CI12" s="12"/>
      <c r="CJ12" s="12"/>
      <c r="CK12" s="12"/>
      <c r="CL12" s="12"/>
      <c r="CM12" s="12"/>
      <c r="CN12" s="12"/>
      <c r="CO12" s="12"/>
      <c r="CP12" s="12"/>
      <c r="CQ12" s="12"/>
      <c r="CR12" s="12"/>
      <c r="CS12" s="12"/>
      <c r="CT12" s="12"/>
      <c r="CU12" s="12"/>
      <c r="CV12" s="12"/>
      <c r="CW12" s="12"/>
      <c r="CX12" s="12"/>
      <c r="CY12" s="12"/>
      <c r="CZ12" s="12"/>
      <c r="DA12" s="12"/>
      <c r="DB12" s="12"/>
      <c r="DC12" s="12"/>
      <c r="DD12" s="12"/>
      <c r="DE12" s="12"/>
      <c r="DF12" s="12"/>
      <c r="DG12" s="12"/>
      <c r="DH12" s="12"/>
      <c r="DI12" s="12"/>
      <c r="DJ12" s="12"/>
      <c r="DK12" s="12"/>
      <c r="DL12" s="12"/>
      <c r="DM12" s="12"/>
      <c r="DN12" s="12"/>
      <c r="DO12" s="12"/>
      <c r="DP12" s="12"/>
      <c r="DQ12" s="12"/>
      <c r="DR12" s="12"/>
      <c r="DS12" s="12"/>
      <c r="DT12" s="12"/>
      <c r="DU12" s="12"/>
      <c r="DV12" s="12"/>
      <c r="DW12" s="12"/>
      <c r="DX12" s="12"/>
      <c r="DY12" s="12"/>
      <c r="DZ12" s="12"/>
      <c r="EA12" s="12"/>
      <c r="EB12" s="12"/>
      <c r="EC12" s="12"/>
      <c r="ED12" s="12"/>
      <c r="EE12" s="12"/>
      <c r="EF12" s="12"/>
      <c r="EG12" s="12"/>
      <c r="EH12" s="12"/>
      <c r="EI12" s="12"/>
      <c r="EJ12" s="12"/>
      <c r="EK12" s="12"/>
      <c r="EL12" s="12"/>
      <c r="EM12" s="12"/>
      <c r="EN12" s="12"/>
      <c r="EO12" s="12"/>
      <c r="EP12" s="12"/>
      <c r="EQ12" s="12"/>
      <c r="ER12" s="12"/>
    </row>
    <row r="13" spans="1:148">
      <c r="A13" s="153" t="s">
        <v>16</v>
      </c>
      <c r="B13" s="124"/>
      <c r="C13" s="124"/>
      <c r="D13" s="153" t="s">
        <v>17</v>
      </c>
      <c r="E13" s="124"/>
      <c r="F13" s="124"/>
      <c r="G13" s="170" t="s">
        <v>18</v>
      </c>
      <c r="H13" s="108"/>
      <c r="I13" s="108"/>
      <c r="J13" s="108"/>
      <c r="K13" s="108"/>
      <c r="L13" s="109"/>
      <c r="M13" s="25"/>
      <c r="N13" s="25"/>
      <c r="O13" s="12"/>
      <c r="P13" s="12"/>
      <c r="Q13" s="12"/>
      <c r="R13" s="12"/>
      <c r="S13" s="12"/>
      <c r="T13" s="12"/>
      <c r="U13" s="12"/>
      <c r="V13" s="12"/>
      <c r="W13" s="12"/>
      <c r="X13" s="12"/>
      <c r="Y13" s="12"/>
      <c r="Z13" s="12"/>
      <c r="AA13" s="12"/>
      <c r="AB13" s="12"/>
      <c r="AC13" s="12"/>
      <c r="AD13" s="12"/>
      <c r="AE13" s="12"/>
      <c r="AF13" s="12"/>
      <c r="AG13" s="12"/>
      <c r="AH13" s="12"/>
      <c r="AI13" s="12"/>
      <c r="AJ13" s="12"/>
      <c r="AK13" s="1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  <c r="BG13" s="12"/>
      <c r="BH13" s="12"/>
      <c r="BI13" s="12"/>
      <c r="BJ13" s="12"/>
      <c r="BK13" s="12"/>
      <c r="BL13" s="12"/>
      <c r="BM13" s="12"/>
      <c r="BN13" s="12"/>
      <c r="BO13" s="12"/>
      <c r="BP13" s="12"/>
      <c r="BQ13" s="12"/>
      <c r="BR13" s="12"/>
      <c r="BS13" s="12"/>
      <c r="BT13" s="12"/>
      <c r="BU13" s="12"/>
      <c r="BV13" s="12"/>
      <c r="BW13" s="12"/>
      <c r="BX13" s="12"/>
      <c r="BY13" s="12"/>
      <c r="BZ13" s="12"/>
      <c r="CA13" s="12"/>
      <c r="CB13" s="12"/>
      <c r="CC13" s="12"/>
      <c r="CD13" s="12"/>
      <c r="CE13" s="12"/>
      <c r="CF13" s="12"/>
      <c r="CG13" s="12"/>
      <c r="CH13" s="12"/>
      <c r="CI13" s="12"/>
      <c r="CJ13" s="12"/>
      <c r="CK13" s="12"/>
      <c r="CL13" s="12"/>
      <c r="CM13" s="12"/>
      <c r="CN13" s="12"/>
      <c r="CO13" s="12"/>
      <c r="CP13" s="12"/>
      <c r="CQ13" s="12"/>
      <c r="CR13" s="12"/>
      <c r="CS13" s="12"/>
      <c r="CT13" s="12"/>
      <c r="CU13" s="12"/>
      <c r="CV13" s="12"/>
      <c r="CW13" s="12"/>
      <c r="CX13" s="12"/>
      <c r="CY13" s="12"/>
      <c r="CZ13" s="12"/>
      <c r="DA13" s="12"/>
      <c r="DB13" s="12"/>
      <c r="DC13" s="12"/>
      <c r="DD13" s="12"/>
      <c r="DE13" s="12"/>
      <c r="DF13" s="12"/>
      <c r="DG13" s="12"/>
      <c r="DH13" s="12"/>
      <c r="DI13" s="12"/>
      <c r="DJ13" s="12"/>
      <c r="DK13" s="12"/>
      <c r="DL13" s="12"/>
      <c r="DM13" s="12"/>
      <c r="DN13" s="12"/>
      <c r="DO13" s="12"/>
      <c r="DP13" s="12"/>
      <c r="DQ13" s="12"/>
      <c r="DR13" s="12"/>
      <c r="DS13" s="12"/>
      <c r="DT13" s="12"/>
      <c r="DU13" s="12"/>
      <c r="DV13" s="12"/>
      <c r="DW13" s="12"/>
      <c r="DX13" s="12"/>
      <c r="DY13" s="12"/>
      <c r="DZ13" s="12"/>
      <c r="EA13" s="12"/>
      <c r="EB13" s="12"/>
      <c r="EC13" s="12"/>
      <c r="ED13" s="12"/>
      <c r="EE13" s="12"/>
      <c r="EF13" s="12"/>
      <c r="EG13" s="12"/>
      <c r="EH13" s="12"/>
      <c r="EI13" s="12"/>
      <c r="EJ13" s="12"/>
      <c r="EK13" s="12"/>
      <c r="EL13" s="12"/>
      <c r="EM13" s="12"/>
      <c r="EN13" s="12"/>
      <c r="EO13" s="12"/>
      <c r="EP13" s="12"/>
      <c r="EQ13" s="12"/>
      <c r="ER13" s="12"/>
    </row>
    <row r="14" spans="1:148">
      <c r="A14" s="30" t="s">
        <v>19</v>
      </c>
      <c r="B14" s="24"/>
      <c r="C14" s="31"/>
      <c r="D14" s="128"/>
      <c r="E14" s="116"/>
      <c r="F14" s="117"/>
      <c r="G14" s="148" t="s">
        <v>20</v>
      </c>
      <c r="H14" s="108"/>
      <c r="I14" s="108"/>
      <c r="J14" s="107" t="s">
        <v>21</v>
      </c>
      <c r="K14" s="108"/>
      <c r="L14" s="109"/>
      <c r="M14" s="32"/>
      <c r="N14" s="32"/>
      <c r="O14" s="12"/>
      <c r="P14" s="12"/>
      <c r="Q14" s="12"/>
      <c r="R14" s="12"/>
      <c r="S14" s="12"/>
      <c r="T14" s="12"/>
      <c r="U14" s="12"/>
      <c r="V14" s="12"/>
      <c r="W14" s="12"/>
      <c r="X14" s="12"/>
      <c r="Y14" s="12"/>
      <c r="Z14" s="12"/>
      <c r="AA14" s="12"/>
      <c r="AB14" s="12"/>
      <c r="AC14" s="12"/>
      <c r="AD14" s="12"/>
      <c r="AE14" s="12"/>
      <c r="AF14" s="12"/>
      <c r="AG14" s="12"/>
      <c r="AH14" s="12"/>
      <c r="AI14" s="12"/>
      <c r="AJ14" s="12"/>
      <c r="AK14" s="12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  <c r="BG14" s="12"/>
      <c r="BH14" s="12"/>
      <c r="BI14" s="12"/>
      <c r="BJ14" s="12"/>
      <c r="BK14" s="12"/>
      <c r="BL14" s="12"/>
      <c r="BM14" s="12"/>
      <c r="BN14" s="12"/>
      <c r="BO14" s="12"/>
      <c r="BP14" s="12"/>
      <c r="BQ14" s="12"/>
      <c r="BR14" s="12"/>
      <c r="BS14" s="12"/>
      <c r="BT14" s="12"/>
      <c r="BU14" s="12"/>
      <c r="BV14" s="12"/>
      <c r="BW14" s="12"/>
      <c r="BX14" s="12"/>
      <c r="BY14" s="12"/>
      <c r="BZ14" s="12"/>
      <c r="CA14" s="12"/>
      <c r="CB14" s="12"/>
      <c r="CC14" s="12"/>
      <c r="CD14" s="12"/>
      <c r="CE14" s="12"/>
      <c r="CF14" s="12"/>
      <c r="CG14" s="12"/>
      <c r="CH14" s="12"/>
      <c r="CI14" s="12"/>
      <c r="CJ14" s="12"/>
      <c r="CK14" s="12"/>
      <c r="CL14" s="12"/>
      <c r="CM14" s="12"/>
      <c r="CN14" s="12"/>
      <c r="CO14" s="12"/>
      <c r="CP14" s="12"/>
      <c r="CQ14" s="12"/>
      <c r="CR14" s="12"/>
      <c r="CS14" s="12"/>
      <c r="CT14" s="12"/>
      <c r="CU14" s="12"/>
      <c r="CV14" s="12"/>
      <c r="CW14" s="12"/>
      <c r="CX14" s="12"/>
      <c r="CY14" s="12"/>
      <c r="CZ14" s="12"/>
      <c r="DA14" s="12"/>
      <c r="DB14" s="12"/>
      <c r="DC14" s="12"/>
      <c r="DD14" s="12"/>
      <c r="DE14" s="12"/>
      <c r="DF14" s="12"/>
      <c r="DG14" s="12"/>
      <c r="DH14" s="12"/>
      <c r="DI14" s="12"/>
      <c r="DJ14" s="12"/>
      <c r="DK14" s="12"/>
      <c r="DL14" s="12"/>
      <c r="DM14" s="12"/>
      <c r="DN14" s="12"/>
      <c r="DO14" s="12"/>
      <c r="DP14" s="12"/>
      <c r="DQ14" s="12"/>
      <c r="DR14" s="12"/>
      <c r="DS14" s="12"/>
      <c r="DT14" s="12"/>
      <c r="DU14" s="12"/>
      <c r="DV14" s="12"/>
      <c r="DW14" s="12"/>
      <c r="DX14" s="12"/>
      <c r="DY14" s="12"/>
      <c r="DZ14" s="12"/>
      <c r="EA14" s="12"/>
      <c r="EB14" s="12"/>
      <c r="EC14" s="12"/>
      <c r="ED14" s="12"/>
      <c r="EE14" s="12"/>
      <c r="EF14" s="12"/>
      <c r="EG14" s="12"/>
      <c r="EH14" s="12"/>
      <c r="EI14" s="12"/>
      <c r="EJ14" s="12"/>
      <c r="EK14" s="12"/>
      <c r="EL14" s="12"/>
      <c r="EM14" s="12"/>
      <c r="EN14" s="12"/>
      <c r="EO14" s="12"/>
      <c r="EP14" s="12"/>
      <c r="EQ14" s="12"/>
      <c r="ER14" s="12"/>
    </row>
    <row r="15" spans="1:148">
      <c r="A15" s="33" t="s">
        <v>22</v>
      </c>
      <c r="B15" s="23"/>
      <c r="C15" s="34"/>
      <c r="D15" s="173"/>
      <c r="E15" s="124"/>
      <c r="F15" s="114"/>
      <c r="G15" s="107" t="s">
        <v>23</v>
      </c>
      <c r="H15" s="109"/>
      <c r="I15" s="36" t="s">
        <v>24</v>
      </c>
      <c r="J15" s="174" t="s">
        <v>25</v>
      </c>
      <c r="K15" s="175"/>
      <c r="L15" s="176"/>
      <c r="M15" s="32"/>
      <c r="N15" s="32"/>
      <c r="O15" s="12"/>
      <c r="P15" s="12"/>
      <c r="Q15" s="12"/>
      <c r="R15" s="12"/>
      <c r="S15" s="12"/>
      <c r="T15" s="12"/>
      <c r="U15" s="12"/>
      <c r="V15" s="12"/>
      <c r="W15" s="12"/>
      <c r="X15" s="12"/>
      <c r="Y15" s="12"/>
      <c r="Z15" s="12"/>
      <c r="AA15" s="12"/>
      <c r="AB15" s="12"/>
      <c r="AC15" s="12"/>
      <c r="AD15" s="12"/>
      <c r="AE15" s="12"/>
      <c r="AF15" s="12"/>
      <c r="AG15" s="12"/>
      <c r="AH15" s="12"/>
      <c r="AI15" s="12"/>
      <c r="AJ15" s="12"/>
      <c r="AK15" s="12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  <c r="BG15" s="12"/>
      <c r="BH15" s="12"/>
      <c r="BI15" s="12"/>
      <c r="BJ15" s="12"/>
      <c r="BK15" s="12"/>
      <c r="BL15" s="12"/>
      <c r="BM15" s="12"/>
      <c r="BN15" s="12"/>
      <c r="BO15" s="12"/>
      <c r="BP15" s="12"/>
      <c r="BQ15" s="12"/>
      <c r="BR15" s="12"/>
      <c r="BS15" s="12"/>
      <c r="BT15" s="12"/>
      <c r="BU15" s="12"/>
      <c r="BV15" s="12"/>
      <c r="BW15" s="12"/>
      <c r="BX15" s="12"/>
      <c r="BY15" s="12"/>
      <c r="BZ15" s="12"/>
      <c r="CA15" s="12"/>
      <c r="CB15" s="12"/>
      <c r="CC15" s="12"/>
      <c r="CD15" s="12"/>
      <c r="CE15" s="12"/>
      <c r="CF15" s="12"/>
      <c r="CG15" s="12"/>
      <c r="CH15" s="12"/>
      <c r="CI15" s="12"/>
      <c r="CJ15" s="12"/>
      <c r="CK15" s="12"/>
      <c r="CL15" s="12"/>
      <c r="CM15" s="12"/>
      <c r="CN15" s="12"/>
      <c r="CO15" s="12"/>
      <c r="CP15" s="12"/>
      <c r="CQ15" s="12"/>
      <c r="CR15" s="12"/>
      <c r="CS15" s="12"/>
      <c r="CT15" s="12"/>
      <c r="CU15" s="12"/>
      <c r="CV15" s="12"/>
      <c r="CW15" s="12"/>
      <c r="CX15" s="12"/>
      <c r="CY15" s="12"/>
      <c r="CZ15" s="12"/>
      <c r="DA15" s="12"/>
      <c r="DB15" s="12"/>
      <c r="DC15" s="12"/>
      <c r="DD15" s="12"/>
      <c r="DE15" s="12"/>
      <c r="DF15" s="12"/>
      <c r="DG15" s="12"/>
      <c r="DH15" s="12"/>
      <c r="DI15" s="12"/>
      <c r="DJ15" s="12"/>
      <c r="DK15" s="12"/>
      <c r="DL15" s="12"/>
      <c r="DM15" s="12"/>
      <c r="DN15" s="12"/>
      <c r="DO15" s="12"/>
      <c r="DP15" s="12"/>
      <c r="DQ15" s="12"/>
      <c r="DR15" s="12"/>
      <c r="DS15" s="12"/>
      <c r="DT15" s="12"/>
      <c r="DU15" s="12"/>
      <c r="DV15" s="12"/>
      <c r="DW15" s="12"/>
      <c r="DX15" s="12"/>
      <c r="DY15" s="12"/>
      <c r="DZ15" s="12"/>
      <c r="EA15" s="12"/>
      <c r="EB15" s="12"/>
      <c r="EC15" s="12"/>
      <c r="ED15" s="12"/>
      <c r="EE15" s="12"/>
      <c r="EF15" s="12"/>
      <c r="EG15" s="12"/>
      <c r="EH15" s="12"/>
      <c r="EI15" s="12"/>
      <c r="EJ15" s="12"/>
      <c r="EK15" s="12"/>
      <c r="EL15" s="12"/>
      <c r="EM15" s="12"/>
      <c r="EN15" s="12"/>
      <c r="EO15" s="12"/>
      <c r="EP15" s="12"/>
      <c r="EQ15" s="12"/>
      <c r="ER15" s="12"/>
    </row>
    <row r="16" spans="1:148">
      <c r="A16" s="37" t="s">
        <v>26</v>
      </c>
      <c r="B16" s="21"/>
      <c r="C16" s="38"/>
      <c r="D16" s="162"/>
      <c r="E16" s="121"/>
      <c r="F16" s="152"/>
      <c r="G16" s="160">
        <v>45748</v>
      </c>
      <c r="H16" s="109"/>
      <c r="I16" s="99">
        <v>45930</v>
      </c>
      <c r="J16" s="177"/>
      <c r="K16" s="178"/>
      <c r="L16" s="179"/>
      <c r="M16" s="32"/>
      <c r="N16" s="32"/>
      <c r="O16" s="12"/>
      <c r="P16" s="12"/>
      <c r="Q16" s="12"/>
      <c r="R16" s="12"/>
      <c r="S16" s="12"/>
      <c r="T16" s="12"/>
      <c r="U16" s="12"/>
      <c r="V16" s="12"/>
      <c r="W16" s="12"/>
      <c r="X16" s="12"/>
      <c r="Y16" s="12"/>
      <c r="Z16" s="12"/>
      <c r="AA16" s="12"/>
      <c r="AB16" s="12"/>
      <c r="AC16" s="12"/>
      <c r="AD16" s="12"/>
      <c r="AE16" s="12"/>
      <c r="AF16" s="12"/>
      <c r="AG16" s="12"/>
      <c r="AH16" s="12"/>
      <c r="AI16" s="12"/>
      <c r="AJ16" s="12"/>
      <c r="AK16" s="12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  <c r="BG16" s="12"/>
      <c r="BH16" s="12"/>
      <c r="BI16" s="12"/>
      <c r="BJ16" s="12"/>
      <c r="BK16" s="12"/>
      <c r="BL16" s="12"/>
      <c r="BM16" s="12"/>
      <c r="BN16" s="12"/>
      <c r="BO16" s="12"/>
      <c r="BP16" s="12"/>
      <c r="BQ16" s="12"/>
      <c r="BR16" s="12"/>
      <c r="BS16" s="12"/>
      <c r="BT16" s="12"/>
      <c r="BU16" s="12"/>
      <c r="BV16" s="12"/>
      <c r="BW16" s="12"/>
      <c r="BX16" s="12"/>
      <c r="BY16" s="12"/>
      <c r="BZ16" s="12"/>
      <c r="CA16" s="12"/>
      <c r="CB16" s="12"/>
      <c r="CC16" s="12"/>
      <c r="CD16" s="12"/>
      <c r="CE16" s="12"/>
      <c r="CF16" s="12"/>
      <c r="CG16" s="12"/>
      <c r="CH16" s="12"/>
      <c r="CI16" s="12"/>
      <c r="CJ16" s="12"/>
      <c r="CK16" s="12"/>
      <c r="CL16" s="12"/>
      <c r="CM16" s="12"/>
      <c r="CN16" s="12"/>
      <c r="CO16" s="12"/>
      <c r="CP16" s="12"/>
      <c r="CQ16" s="12"/>
      <c r="CR16" s="12"/>
      <c r="CS16" s="12"/>
      <c r="CT16" s="12"/>
      <c r="CU16" s="12"/>
      <c r="CV16" s="12"/>
      <c r="CW16" s="12"/>
      <c r="CX16" s="12"/>
      <c r="CY16" s="12"/>
      <c r="CZ16" s="12"/>
      <c r="DA16" s="12"/>
      <c r="DB16" s="12"/>
      <c r="DC16" s="12"/>
      <c r="DD16" s="12"/>
      <c r="DE16" s="12"/>
      <c r="DF16" s="12"/>
      <c r="DG16" s="12"/>
      <c r="DH16" s="12"/>
      <c r="DI16" s="12"/>
      <c r="DJ16" s="12"/>
      <c r="DK16" s="12"/>
      <c r="DL16" s="12"/>
      <c r="DM16" s="12"/>
      <c r="DN16" s="12"/>
      <c r="DO16" s="12"/>
      <c r="DP16" s="12"/>
      <c r="DQ16" s="12"/>
      <c r="DR16" s="12"/>
      <c r="DS16" s="12"/>
      <c r="DT16" s="12"/>
      <c r="DU16" s="12"/>
      <c r="DV16" s="12"/>
      <c r="DW16" s="12"/>
      <c r="DX16" s="12"/>
      <c r="DY16" s="12"/>
      <c r="DZ16" s="12"/>
      <c r="EA16" s="12"/>
      <c r="EB16" s="12"/>
      <c r="EC16" s="12"/>
      <c r="ED16" s="12"/>
      <c r="EE16" s="12"/>
      <c r="EF16" s="12"/>
      <c r="EG16" s="12"/>
      <c r="EH16" s="12"/>
      <c r="EI16" s="12"/>
      <c r="EJ16" s="12"/>
      <c r="EK16" s="12"/>
      <c r="EL16" s="12"/>
      <c r="EM16" s="12"/>
      <c r="EN16" s="12"/>
      <c r="EO16" s="12"/>
      <c r="EP16" s="12"/>
      <c r="EQ16" s="12"/>
      <c r="ER16" s="12"/>
    </row>
    <row r="17" spans="1:14">
      <c r="A17" s="37" t="s">
        <v>27</v>
      </c>
      <c r="B17" s="21"/>
      <c r="C17" s="21"/>
      <c r="D17" s="39"/>
      <c r="E17" s="39"/>
      <c r="F17" s="39"/>
      <c r="G17" s="42"/>
      <c r="H17" s="42"/>
      <c r="I17" s="42"/>
      <c r="J17" s="28"/>
      <c r="K17" s="28"/>
      <c r="L17" s="29"/>
      <c r="M17" s="25"/>
      <c r="N17" s="25"/>
    </row>
    <row r="18" spans="1:14" ht="25.5" customHeight="1">
      <c r="A18" s="172" t="s">
        <v>28</v>
      </c>
      <c r="B18" s="109"/>
      <c r="C18" s="132" t="s">
        <v>29</v>
      </c>
      <c r="D18" s="108"/>
      <c r="E18" s="109"/>
      <c r="F18" s="150" t="s">
        <v>30</v>
      </c>
      <c r="G18" s="109"/>
      <c r="H18" s="164" t="s">
        <v>31</v>
      </c>
      <c r="I18" s="108"/>
      <c r="J18" s="109"/>
      <c r="K18" s="164" t="s">
        <v>32</v>
      </c>
      <c r="L18" s="109"/>
      <c r="M18" s="43"/>
      <c r="N18" s="43"/>
    </row>
    <row r="19" spans="1:14">
      <c r="A19" s="110" t="s">
        <v>33</v>
      </c>
      <c r="B19" s="109"/>
      <c r="C19" s="110"/>
      <c r="D19" s="108"/>
      <c r="E19" s="109"/>
      <c r="F19" s="142"/>
      <c r="G19" s="109"/>
      <c r="H19" s="110"/>
      <c r="I19" s="108"/>
      <c r="J19" s="109"/>
      <c r="K19" s="146">
        <v>0</v>
      </c>
      <c r="L19" s="109"/>
      <c r="M19" s="45"/>
      <c r="N19" s="45"/>
    </row>
    <row r="20" spans="1:14">
      <c r="A20" s="110" t="s">
        <v>34</v>
      </c>
      <c r="B20" s="109"/>
      <c r="C20" s="110"/>
      <c r="D20" s="108"/>
      <c r="E20" s="109"/>
      <c r="F20" s="142"/>
      <c r="G20" s="109"/>
      <c r="H20" s="110"/>
      <c r="I20" s="108"/>
      <c r="J20" s="109"/>
      <c r="K20" s="146">
        <v>0</v>
      </c>
      <c r="L20" s="109"/>
      <c r="M20" s="45"/>
      <c r="N20" s="45"/>
    </row>
    <row r="21" spans="1:14">
      <c r="A21" s="110" t="s">
        <v>35</v>
      </c>
      <c r="B21" s="109"/>
      <c r="C21" s="110"/>
      <c r="D21" s="108"/>
      <c r="E21" s="109"/>
      <c r="F21" s="142"/>
      <c r="G21" s="109"/>
      <c r="H21" s="110"/>
      <c r="I21" s="108"/>
      <c r="J21" s="109"/>
      <c r="K21" s="146">
        <v>0</v>
      </c>
      <c r="L21" s="109"/>
      <c r="M21" s="45"/>
      <c r="N21" s="45"/>
    </row>
    <row r="22" spans="1:14">
      <c r="A22" s="110" t="s">
        <v>36</v>
      </c>
      <c r="B22" s="109"/>
      <c r="C22" s="110"/>
      <c r="D22" s="108"/>
      <c r="E22" s="109"/>
      <c r="F22" s="142"/>
      <c r="G22" s="109"/>
      <c r="H22" s="110"/>
      <c r="I22" s="108"/>
      <c r="J22" s="109"/>
      <c r="K22" s="146">
        <v>0</v>
      </c>
      <c r="L22" s="109"/>
      <c r="M22" s="45"/>
      <c r="N22" s="45"/>
    </row>
    <row r="23" spans="1:14">
      <c r="A23" s="107" t="s">
        <v>37</v>
      </c>
      <c r="B23" s="109"/>
      <c r="C23" s="107"/>
      <c r="D23" s="108"/>
      <c r="E23" s="109"/>
      <c r="F23" s="130">
        <v>0</v>
      </c>
      <c r="G23" s="109"/>
      <c r="H23" s="180">
        <v>0</v>
      </c>
      <c r="I23" s="108"/>
      <c r="J23" s="109"/>
      <c r="K23" s="130">
        <v>0</v>
      </c>
      <c r="L23" s="109"/>
      <c r="M23" s="46"/>
      <c r="N23" s="46"/>
    </row>
    <row r="24" spans="1:14">
      <c r="A24" s="154" t="s">
        <v>38</v>
      </c>
      <c r="B24" s="108"/>
      <c r="C24" s="108"/>
      <c r="D24" s="108"/>
      <c r="E24" s="108"/>
      <c r="F24" s="108"/>
      <c r="G24" s="108"/>
      <c r="H24" s="108"/>
      <c r="I24" s="108"/>
      <c r="J24" s="108"/>
      <c r="K24" s="108"/>
      <c r="L24" s="109"/>
      <c r="M24" s="47"/>
      <c r="N24" s="47"/>
    </row>
    <row r="25" spans="1:14">
      <c r="A25" s="48" t="s">
        <v>39</v>
      </c>
      <c r="B25" s="115" t="s">
        <v>40</v>
      </c>
      <c r="C25" s="116"/>
      <c r="D25" s="117"/>
      <c r="E25" s="122" t="s">
        <v>41</v>
      </c>
      <c r="F25" s="116"/>
      <c r="G25" s="116"/>
      <c r="H25" s="116"/>
      <c r="I25" s="116"/>
      <c r="J25" s="116"/>
      <c r="K25" s="116"/>
      <c r="L25" s="117"/>
      <c r="M25" s="45"/>
      <c r="N25" s="45"/>
    </row>
    <row r="26" spans="1:14">
      <c r="A26" s="50"/>
      <c r="B26" s="155" t="s">
        <v>42</v>
      </c>
      <c r="C26" s="124"/>
      <c r="D26" s="124"/>
      <c r="E26" s="159" t="s">
        <v>43</v>
      </c>
      <c r="F26" s="116"/>
      <c r="G26" s="118" t="s">
        <v>44</v>
      </c>
      <c r="H26" s="117"/>
      <c r="I26" s="118" t="s">
        <v>45</v>
      </c>
      <c r="J26" s="117"/>
      <c r="K26" s="119" t="s">
        <v>46</v>
      </c>
      <c r="L26" s="117"/>
      <c r="M26" s="51"/>
      <c r="N26" s="51"/>
    </row>
    <row r="27" spans="1:14">
      <c r="A27" s="50"/>
      <c r="B27" s="25"/>
      <c r="C27" s="25" t="s">
        <v>47</v>
      </c>
      <c r="D27" s="25"/>
      <c r="E27" s="131" t="s">
        <v>48</v>
      </c>
      <c r="F27" s="124"/>
      <c r="G27" s="141" t="s">
        <v>48</v>
      </c>
      <c r="H27" s="114"/>
      <c r="I27" s="141" t="s">
        <v>48</v>
      </c>
      <c r="J27" s="114"/>
      <c r="K27" s="156" t="s">
        <v>49</v>
      </c>
      <c r="L27" s="114"/>
      <c r="M27" s="51"/>
      <c r="N27" s="51"/>
    </row>
    <row r="28" spans="1:14">
      <c r="A28" s="52"/>
      <c r="B28" s="120"/>
      <c r="C28" s="121"/>
      <c r="D28" s="121"/>
      <c r="E28" s="53"/>
      <c r="F28" s="6"/>
      <c r="G28" s="163"/>
      <c r="H28" s="152"/>
      <c r="I28" s="163" t="s">
        <v>50</v>
      </c>
      <c r="J28" s="152"/>
      <c r="K28" s="27"/>
      <c r="L28" s="29"/>
      <c r="M28" s="25"/>
      <c r="N28" s="25"/>
    </row>
    <row r="29" spans="1:14">
      <c r="A29" s="36">
        <v>1</v>
      </c>
      <c r="B29" s="110"/>
      <c r="C29" s="108"/>
      <c r="D29" s="109"/>
      <c r="E29" s="142"/>
      <c r="F29" s="109"/>
      <c r="G29" s="140"/>
      <c r="H29" s="109"/>
      <c r="I29" s="140"/>
      <c r="J29" s="109"/>
      <c r="K29" s="3"/>
      <c r="L29" s="2"/>
      <c r="M29" s="25"/>
      <c r="N29" s="25"/>
    </row>
    <row r="30" spans="1:14">
      <c r="A30" s="54">
        <v>2</v>
      </c>
      <c r="B30" s="110"/>
      <c r="C30" s="108"/>
      <c r="D30" s="109"/>
      <c r="E30" s="142"/>
      <c r="F30" s="109"/>
      <c r="G30" s="140"/>
      <c r="H30" s="109"/>
      <c r="I30" s="140"/>
      <c r="J30" s="109"/>
      <c r="K30" s="3"/>
      <c r="L30" s="2"/>
      <c r="M30" s="25"/>
      <c r="N30" s="25"/>
    </row>
    <row r="31" spans="1:14">
      <c r="A31" s="54">
        <v>3</v>
      </c>
      <c r="B31" s="110"/>
      <c r="C31" s="108"/>
      <c r="D31" s="109"/>
      <c r="E31" s="5"/>
      <c r="F31" s="4"/>
      <c r="G31" s="40"/>
      <c r="H31" s="41"/>
      <c r="I31" s="40"/>
      <c r="J31" s="41"/>
      <c r="K31" s="3"/>
      <c r="L31" s="2"/>
      <c r="M31" s="25"/>
      <c r="N31" s="25"/>
    </row>
    <row r="32" spans="1:14">
      <c r="A32" s="54">
        <v>4</v>
      </c>
      <c r="B32" s="110"/>
      <c r="C32" s="108"/>
      <c r="D32" s="109"/>
      <c r="E32" s="5"/>
      <c r="F32" s="4"/>
      <c r="G32" s="40"/>
      <c r="H32" s="41"/>
      <c r="I32" s="40"/>
      <c r="J32" s="41"/>
      <c r="K32" s="3"/>
      <c r="L32" s="2"/>
      <c r="M32" s="25"/>
      <c r="N32" s="25"/>
    </row>
    <row r="33" spans="1:14">
      <c r="A33" s="54">
        <v>5</v>
      </c>
      <c r="B33" s="110"/>
      <c r="C33" s="108"/>
      <c r="D33" s="109"/>
      <c r="E33" s="5"/>
      <c r="F33" s="4"/>
      <c r="G33" s="40"/>
      <c r="H33" s="41"/>
      <c r="I33" s="40"/>
      <c r="J33" s="41"/>
      <c r="K33" s="3"/>
      <c r="L33" s="2"/>
      <c r="M33" s="25"/>
      <c r="N33" s="25"/>
    </row>
    <row r="34" spans="1:14">
      <c r="A34" s="54">
        <v>6</v>
      </c>
      <c r="B34" s="110"/>
      <c r="C34" s="108"/>
      <c r="D34" s="109"/>
      <c r="E34" s="5"/>
      <c r="F34" s="4"/>
      <c r="G34" s="40"/>
      <c r="H34" s="41"/>
      <c r="I34" s="40"/>
      <c r="J34" s="41"/>
      <c r="K34" s="3"/>
      <c r="L34" s="2"/>
      <c r="M34" s="25"/>
      <c r="N34" s="25"/>
    </row>
    <row r="35" spans="1:14">
      <c r="A35" s="54">
        <v>7</v>
      </c>
      <c r="B35" s="110"/>
      <c r="C35" s="108"/>
      <c r="D35" s="109"/>
      <c r="E35" s="5"/>
      <c r="F35" s="4"/>
      <c r="G35" s="40"/>
      <c r="H35" s="41"/>
      <c r="I35" s="40"/>
      <c r="J35" s="41"/>
      <c r="K35" s="3"/>
      <c r="L35" s="2"/>
      <c r="M35" s="25"/>
      <c r="N35" s="25"/>
    </row>
    <row r="36" spans="1:14">
      <c r="A36" s="54">
        <v>8</v>
      </c>
      <c r="B36" s="110"/>
      <c r="C36" s="108"/>
      <c r="D36" s="109"/>
      <c r="E36" s="5"/>
      <c r="F36" s="4"/>
      <c r="G36" s="40"/>
      <c r="H36" s="41"/>
      <c r="I36" s="40"/>
      <c r="J36" s="41"/>
      <c r="K36" s="3"/>
      <c r="L36" s="2"/>
      <c r="M36" s="25"/>
      <c r="N36" s="25"/>
    </row>
    <row r="37" spans="1:14">
      <c r="A37" s="54">
        <v>9</v>
      </c>
      <c r="B37" s="110"/>
      <c r="C37" s="108"/>
      <c r="D37" s="109"/>
      <c r="E37" s="142"/>
      <c r="F37" s="109"/>
      <c r="G37" s="140"/>
      <c r="H37" s="109"/>
      <c r="I37" s="140"/>
      <c r="J37" s="109"/>
      <c r="K37" s="3"/>
      <c r="L37" s="2"/>
      <c r="M37" s="25"/>
      <c r="N37" s="25"/>
    </row>
    <row r="38" spans="1:14">
      <c r="A38" s="54">
        <v>10</v>
      </c>
      <c r="B38" s="110"/>
      <c r="C38" s="108"/>
      <c r="D38" s="109"/>
      <c r="E38" s="142"/>
      <c r="F38" s="109"/>
      <c r="G38" s="140"/>
      <c r="H38" s="109"/>
      <c r="I38" s="140"/>
      <c r="J38" s="109"/>
      <c r="K38" s="3"/>
      <c r="L38" s="2"/>
      <c r="M38" s="25"/>
      <c r="N38" s="25"/>
    </row>
    <row r="39" spans="1:14">
      <c r="A39" s="54">
        <v>11</v>
      </c>
      <c r="B39" s="110"/>
      <c r="C39" s="108"/>
      <c r="D39" s="109"/>
      <c r="E39" s="142"/>
      <c r="F39" s="109"/>
      <c r="G39" s="140"/>
      <c r="H39" s="109"/>
      <c r="I39" s="140"/>
      <c r="J39" s="109"/>
      <c r="K39" s="3"/>
      <c r="L39" s="2"/>
      <c r="M39" s="25"/>
      <c r="N39" s="25"/>
    </row>
    <row r="40" spans="1:14">
      <c r="A40" s="54">
        <v>12</v>
      </c>
      <c r="B40" s="110"/>
      <c r="C40" s="108"/>
      <c r="D40" s="109"/>
      <c r="E40" s="142"/>
      <c r="F40" s="109"/>
      <c r="G40" s="140"/>
      <c r="H40" s="109"/>
      <c r="I40" s="140"/>
      <c r="J40" s="109"/>
      <c r="K40" s="3"/>
      <c r="L40" s="2"/>
      <c r="M40" s="25"/>
      <c r="N40" s="25"/>
    </row>
    <row r="41" spans="1:14">
      <c r="A41" s="52" t="s">
        <v>51</v>
      </c>
      <c r="B41" s="110">
        <v>0</v>
      </c>
      <c r="C41" s="108"/>
      <c r="D41" s="109"/>
      <c r="E41" s="142"/>
      <c r="F41" s="109"/>
      <c r="G41" s="140"/>
      <c r="H41" s="109"/>
      <c r="I41" s="140"/>
      <c r="J41" s="109"/>
      <c r="K41" s="3"/>
      <c r="L41" s="2"/>
      <c r="M41" s="25"/>
      <c r="N41" s="25"/>
    </row>
    <row r="42" spans="1:14">
      <c r="A42" s="37"/>
      <c r="B42" s="3"/>
      <c r="C42" s="3"/>
      <c r="D42" s="3"/>
      <c r="E42" s="44"/>
      <c r="F42" s="44"/>
      <c r="G42" s="55"/>
      <c r="H42" s="55"/>
      <c r="I42" s="55"/>
      <c r="J42" s="55"/>
      <c r="K42" s="3"/>
      <c r="L42" s="2"/>
      <c r="M42" s="25"/>
      <c r="N42" s="25"/>
    </row>
    <row r="43" spans="1:14">
      <c r="A43" s="154" t="s">
        <v>52</v>
      </c>
      <c r="B43" s="108"/>
      <c r="C43" s="108"/>
      <c r="D43" s="108"/>
      <c r="E43" s="108"/>
      <c r="F43" s="108"/>
      <c r="G43" s="108"/>
      <c r="H43" s="108"/>
      <c r="I43" s="108"/>
      <c r="J43" s="108"/>
      <c r="K43" s="108"/>
      <c r="L43" s="109"/>
      <c r="M43" s="47"/>
      <c r="N43" s="47"/>
    </row>
    <row r="44" spans="1:14">
      <c r="A44" s="48" t="s">
        <v>39</v>
      </c>
      <c r="B44" s="115" t="s">
        <v>40</v>
      </c>
      <c r="C44" s="116"/>
      <c r="D44" s="117"/>
      <c r="E44" s="122" t="s">
        <v>53</v>
      </c>
      <c r="F44" s="116"/>
      <c r="G44" s="116"/>
      <c r="H44" s="116"/>
      <c r="I44" s="116"/>
      <c r="J44" s="116"/>
      <c r="K44" s="116"/>
      <c r="L44" s="117"/>
      <c r="M44" s="45"/>
      <c r="N44" s="45"/>
    </row>
    <row r="45" spans="1:14">
      <c r="A45" s="50"/>
      <c r="B45" s="155" t="s">
        <v>42</v>
      </c>
      <c r="C45" s="124"/>
      <c r="D45" s="124"/>
      <c r="E45" s="159" t="s">
        <v>54</v>
      </c>
      <c r="F45" s="116"/>
      <c r="G45" s="118" t="s">
        <v>55</v>
      </c>
      <c r="H45" s="117"/>
      <c r="I45" s="118" t="s">
        <v>56</v>
      </c>
      <c r="J45" s="117"/>
      <c r="K45" s="119" t="s">
        <v>46</v>
      </c>
      <c r="L45" s="117"/>
      <c r="M45" s="51"/>
      <c r="N45" s="51"/>
    </row>
    <row r="46" spans="1:14">
      <c r="A46" s="50"/>
      <c r="B46" s="25"/>
      <c r="C46" s="25" t="s">
        <v>47</v>
      </c>
      <c r="D46" s="25"/>
      <c r="E46" s="131" t="s">
        <v>57</v>
      </c>
      <c r="F46" s="124"/>
      <c r="G46" s="141" t="s">
        <v>58</v>
      </c>
      <c r="H46" s="114"/>
      <c r="I46" s="141" t="s">
        <v>59</v>
      </c>
      <c r="J46" s="114"/>
      <c r="K46" s="156" t="s">
        <v>49</v>
      </c>
      <c r="L46" s="114"/>
      <c r="M46" s="51"/>
      <c r="N46" s="51"/>
    </row>
    <row r="47" spans="1:14">
      <c r="A47" s="52"/>
      <c r="B47" s="120"/>
      <c r="C47" s="121"/>
      <c r="D47" s="121"/>
      <c r="E47" s="53"/>
      <c r="F47" s="6"/>
      <c r="G47" s="163" t="s">
        <v>50</v>
      </c>
      <c r="H47" s="152"/>
      <c r="I47" s="163"/>
      <c r="J47" s="152"/>
      <c r="K47" s="27"/>
      <c r="L47" s="29"/>
      <c r="M47" s="25"/>
      <c r="N47" s="25"/>
    </row>
    <row r="48" spans="1:14">
      <c r="A48" s="36">
        <v>1</v>
      </c>
      <c r="B48" s="110"/>
      <c r="C48" s="108"/>
      <c r="D48" s="109"/>
      <c r="E48" s="97"/>
      <c r="F48" s="4"/>
      <c r="G48" s="126"/>
      <c r="H48" s="109"/>
      <c r="I48" s="127"/>
      <c r="J48" s="109"/>
      <c r="K48" s="3"/>
      <c r="L48" s="2"/>
      <c r="M48" s="25"/>
      <c r="N48" s="25"/>
    </row>
    <row r="49" spans="1:14">
      <c r="A49" s="54">
        <v>2</v>
      </c>
      <c r="B49" s="110"/>
      <c r="C49" s="108"/>
      <c r="D49" s="109"/>
      <c r="E49" s="97"/>
      <c r="F49" s="4"/>
      <c r="G49" s="126"/>
      <c r="H49" s="109"/>
      <c r="I49" s="127"/>
      <c r="J49" s="109"/>
      <c r="K49" s="3"/>
      <c r="L49" s="2"/>
      <c r="M49" s="25"/>
      <c r="N49" s="25"/>
    </row>
    <row r="50" spans="1:14">
      <c r="A50" s="54">
        <v>3</v>
      </c>
      <c r="B50" s="110"/>
      <c r="C50" s="108"/>
      <c r="D50" s="109"/>
      <c r="E50" s="97"/>
      <c r="F50" s="4"/>
      <c r="G50" s="126"/>
      <c r="H50" s="109"/>
      <c r="I50" s="127"/>
      <c r="J50" s="109"/>
      <c r="K50" s="3"/>
      <c r="L50" s="2"/>
      <c r="M50" s="25"/>
      <c r="N50" s="25"/>
    </row>
    <row r="51" spans="1:14">
      <c r="A51" s="54">
        <v>4</v>
      </c>
      <c r="B51" s="110"/>
      <c r="C51" s="108"/>
      <c r="D51" s="109"/>
      <c r="E51" s="97"/>
      <c r="F51" s="4"/>
      <c r="G51" s="126"/>
      <c r="H51" s="109"/>
      <c r="I51" s="127"/>
      <c r="J51" s="109"/>
      <c r="K51" s="3"/>
      <c r="L51" s="2"/>
      <c r="M51" s="25"/>
      <c r="N51" s="25"/>
    </row>
    <row r="52" spans="1:14">
      <c r="A52" s="54">
        <v>5</v>
      </c>
      <c r="B52" s="110"/>
      <c r="C52" s="108"/>
      <c r="D52" s="109"/>
      <c r="E52" s="97"/>
      <c r="F52" s="4"/>
      <c r="G52" s="126"/>
      <c r="H52" s="109"/>
      <c r="I52" s="127"/>
      <c r="J52" s="109"/>
      <c r="K52" s="3"/>
      <c r="L52" s="2"/>
      <c r="M52" s="25"/>
      <c r="N52" s="25"/>
    </row>
    <row r="53" spans="1:14">
      <c r="A53" s="54">
        <v>6</v>
      </c>
      <c r="B53" s="110"/>
      <c r="C53" s="108"/>
      <c r="D53" s="109"/>
      <c r="E53" s="97"/>
      <c r="F53" s="4"/>
      <c r="G53" s="126"/>
      <c r="H53" s="109"/>
      <c r="I53" s="127"/>
      <c r="J53" s="109"/>
      <c r="K53" s="3"/>
      <c r="L53" s="2"/>
      <c r="M53" s="25"/>
      <c r="N53" s="25"/>
    </row>
    <row r="54" spans="1:14">
      <c r="A54" s="54">
        <v>7</v>
      </c>
      <c r="B54" s="110"/>
      <c r="C54" s="108"/>
      <c r="D54" s="109"/>
      <c r="E54" s="97"/>
      <c r="F54" s="4"/>
      <c r="G54" s="126"/>
      <c r="H54" s="109"/>
      <c r="I54" s="127"/>
      <c r="J54" s="109"/>
      <c r="K54" s="3"/>
      <c r="L54" s="2"/>
      <c r="M54" s="25"/>
      <c r="N54" s="25"/>
    </row>
    <row r="55" spans="1:14">
      <c r="A55" s="54">
        <v>8</v>
      </c>
      <c r="B55" s="110"/>
      <c r="C55" s="108"/>
      <c r="D55" s="109"/>
      <c r="E55" s="97"/>
      <c r="F55" s="4"/>
      <c r="G55" s="126"/>
      <c r="H55" s="109"/>
      <c r="I55" s="127"/>
      <c r="J55" s="109"/>
      <c r="K55" s="3"/>
      <c r="L55" s="2"/>
      <c r="M55" s="25"/>
      <c r="N55" s="25"/>
    </row>
    <row r="56" spans="1:14">
      <c r="A56" s="54">
        <v>9</v>
      </c>
      <c r="B56" s="110"/>
      <c r="C56" s="108"/>
      <c r="D56" s="109"/>
      <c r="E56" s="97"/>
      <c r="F56" s="4"/>
      <c r="G56" s="126"/>
      <c r="H56" s="109"/>
      <c r="I56" s="127"/>
      <c r="J56" s="109"/>
      <c r="K56" s="3"/>
      <c r="L56" s="2"/>
      <c r="M56" s="25"/>
      <c r="N56" s="25"/>
    </row>
    <row r="57" spans="1:14">
      <c r="A57" s="54">
        <v>10</v>
      </c>
      <c r="B57" s="110"/>
      <c r="C57" s="108"/>
      <c r="D57" s="109"/>
      <c r="E57" s="97"/>
      <c r="F57" s="4"/>
      <c r="G57" s="126"/>
      <c r="H57" s="109"/>
      <c r="I57" s="127"/>
      <c r="J57" s="109"/>
      <c r="K57" s="3"/>
      <c r="L57" s="2"/>
      <c r="M57" s="25"/>
      <c r="N57" s="25"/>
    </row>
    <row r="58" spans="1:14">
      <c r="A58" s="54">
        <v>11</v>
      </c>
      <c r="B58" s="110"/>
      <c r="C58" s="108"/>
      <c r="D58" s="109"/>
      <c r="E58" s="97"/>
      <c r="F58" s="4"/>
      <c r="G58" s="126"/>
      <c r="H58" s="109"/>
      <c r="I58" s="127"/>
      <c r="J58" s="109"/>
      <c r="K58" s="3"/>
      <c r="L58" s="2"/>
      <c r="M58" s="25"/>
      <c r="N58" s="25"/>
    </row>
    <row r="59" spans="1:14">
      <c r="A59" s="54">
        <v>12</v>
      </c>
      <c r="B59" s="110"/>
      <c r="C59" s="108"/>
      <c r="D59" s="109"/>
      <c r="E59" s="97"/>
      <c r="F59" s="4"/>
      <c r="G59" s="126"/>
      <c r="H59" s="109"/>
      <c r="I59" s="127"/>
      <c r="J59" s="109"/>
      <c r="K59" s="3"/>
      <c r="L59" s="2"/>
      <c r="M59" s="25"/>
      <c r="N59" s="25"/>
    </row>
    <row r="60" spans="1:14">
      <c r="A60" s="52" t="s">
        <v>51</v>
      </c>
      <c r="B60" s="107">
        <v>0</v>
      </c>
      <c r="C60" s="108"/>
      <c r="D60" s="109"/>
      <c r="E60" s="171"/>
      <c r="F60" s="109"/>
      <c r="G60" s="126"/>
      <c r="H60" s="108"/>
      <c r="I60" s="108"/>
      <c r="J60" s="108"/>
      <c r="K60" s="108"/>
      <c r="L60" s="109"/>
      <c r="M60" s="25"/>
      <c r="N60" s="25"/>
    </row>
    <row r="61" spans="1:14">
      <c r="A61" s="167" t="s">
        <v>60</v>
      </c>
      <c r="B61" s="108"/>
      <c r="C61" s="108"/>
      <c r="D61" s="108"/>
      <c r="E61" s="108"/>
      <c r="F61" s="108"/>
      <c r="G61" s="108"/>
      <c r="H61" s="108"/>
      <c r="I61" s="108"/>
      <c r="J61" s="108"/>
      <c r="K61" s="108"/>
      <c r="L61" s="109"/>
      <c r="M61" s="56"/>
      <c r="N61" s="56"/>
    </row>
    <row r="62" spans="1:14">
      <c r="A62" s="88" t="s">
        <v>61</v>
      </c>
      <c r="B62" s="133" t="s">
        <v>62</v>
      </c>
      <c r="C62" s="108"/>
      <c r="D62" s="108"/>
      <c r="E62" s="89" t="s">
        <v>63</v>
      </c>
      <c r="F62" s="86"/>
      <c r="G62" s="111" t="s">
        <v>64</v>
      </c>
      <c r="H62" s="112"/>
      <c r="I62" s="112"/>
      <c r="J62" s="89" t="s">
        <v>65</v>
      </c>
      <c r="K62" s="86"/>
      <c r="L62" s="87"/>
      <c r="M62" s="1"/>
      <c r="N62" s="1"/>
    </row>
    <row r="63" spans="1:14">
      <c r="A63" s="129" t="s">
        <v>66</v>
      </c>
      <c r="B63" s="121"/>
      <c r="C63" s="121"/>
      <c r="D63" s="92" t="s">
        <v>67</v>
      </c>
      <c r="E63" s="23"/>
      <c r="F63" s="12"/>
      <c r="G63" s="12"/>
      <c r="H63" s="12"/>
      <c r="I63" s="93">
        <v>0</v>
      </c>
      <c r="J63" s="91" t="s">
        <v>68</v>
      </c>
      <c r="K63" s="12"/>
      <c r="L63" s="95"/>
      <c r="M63" s="1"/>
      <c r="N63" s="1"/>
    </row>
    <row r="64" spans="1:14">
      <c r="A64" s="169"/>
      <c r="B64" s="121"/>
      <c r="C64" s="121"/>
      <c r="D64" s="121"/>
      <c r="E64" s="121"/>
      <c r="F64" s="90" t="s">
        <v>69</v>
      </c>
      <c r="G64" s="57"/>
      <c r="H64" s="57"/>
      <c r="I64" s="57"/>
      <c r="J64" s="57"/>
      <c r="K64" s="57"/>
      <c r="L64" s="58"/>
      <c r="M64" s="57"/>
      <c r="N64" s="57"/>
    </row>
    <row r="65" spans="1:16">
      <c r="A65" s="165" t="s">
        <v>70</v>
      </c>
      <c r="B65" s="124"/>
      <c r="C65" s="124"/>
      <c r="D65" s="124"/>
      <c r="E65" s="124"/>
      <c r="F65" s="124"/>
      <c r="G65" s="124"/>
      <c r="H65" s="124"/>
      <c r="I65" s="124"/>
      <c r="J65" s="124"/>
      <c r="K65" s="124"/>
      <c r="L65" s="114"/>
      <c r="M65" s="11"/>
      <c r="N65" s="11"/>
    </row>
    <row r="66" spans="1:16">
      <c r="A66" s="166"/>
      <c r="B66" s="121"/>
      <c r="C66" s="121"/>
      <c r="D66" s="121"/>
      <c r="E66" s="121"/>
      <c r="F66" s="121"/>
      <c r="G66" s="121"/>
      <c r="H66" s="121"/>
      <c r="I66" s="121"/>
      <c r="J66" s="121"/>
      <c r="K66" s="121"/>
      <c r="L66" s="152"/>
      <c r="M66" s="11"/>
      <c r="N66" s="11"/>
    </row>
    <row r="67" spans="1:16">
      <c r="A67" s="168" t="s">
        <v>71</v>
      </c>
      <c r="B67" s="116"/>
      <c r="C67" s="11"/>
      <c r="D67" s="11"/>
      <c r="E67" s="11"/>
      <c r="F67" s="11"/>
      <c r="G67" s="11"/>
      <c r="H67" s="11"/>
      <c r="I67" s="11"/>
      <c r="J67" s="11"/>
      <c r="K67" s="11"/>
      <c r="L67" s="11"/>
      <c r="M67" s="11"/>
      <c r="N67" s="11"/>
    </row>
    <row r="68" spans="1:16">
      <c r="A68" s="123" t="s">
        <v>72</v>
      </c>
      <c r="B68" s="124"/>
      <c r="C68" s="124"/>
      <c r="D68" s="124"/>
      <c r="E68" s="124"/>
      <c r="F68" s="124"/>
      <c r="G68" s="124"/>
      <c r="H68" s="124"/>
      <c r="I68" s="124"/>
      <c r="J68" s="124"/>
      <c r="K68" s="124"/>
      <c r="L68" s="124"/>
      <c r="M68" s="11"/>
      <c r="N68" s="11"/>
    </row>
    <row r="69" spans="1:16">
      <c r="A69" s="123" t="s">
        <v>73</v>
      </c>
      <c r="B69" s="124"/>
      <c r="C69" s="124"/>
      <c r="D69" s="124"/>
      <c r="E69" s="124"/>
      <c r="F69" s="124"/>
      <c r="G69" s="124"/>
      <c r="H69" s="124"/>
      <c r="I69" s="124"/>
      <c r="J69" s="124"/>
      <c r="K69" s="124"/>
      <c r="L69" s="124"/>
      <c r="M69" s="11"/>
      <c r="N69" s="11"/>
    </row>
    <row r="70" spans="1:16">
      <c r="A70" s="123" t="s">
        <v>74</v>
      </c>
      <c r="B70" s="124"/>
      <c r="C70" s="124"/>
      <c r="D70" s="124"/>
      <c r="E70" s="124"/>
      <c r="F70" s="124"/>
      <c r="G70" s="124"/>
      <c r="H70" s="124"/>
      <c r="I70" s="124"/>
      <c r="J70" s="124"/>
      <c r="K70" s="124"/>
      <c r="L70" s="124"/>
      <c r="M70" s="11"/>
      <c r="N70" s="11"/>
    </row>
    <row r="71" spans="1:16">
      <c r="A71" s="123" t="s">
        <v>75</v>
      </c>
      <c r="B71" s="124"/>
      <c r="C71" s="124"/>
      <c r="D71" s="124"/>
      <c r="E71" s="124"/>
      <c r="F71" s="124"/>
      <c r="G71" s="124"/>
      <c r="H71" s="124"/>
      <c r="I71" s="124"/>
      <c r="J71" s="124"/>
      <c r="K71" s="124"/>
      <c r="L71" s="124"/>
      <c r="M71" s="11"/>
      <c r="N71" s="11"/>
    </row>
    <row r="72" spans="1:16">
      <c r="A72" s="123" t="s">
        <v>76</v>
      </c>
      <c r="B72" s="124"/>
      <c r="C72" s="124"/>
      <c r="D72" s="124"/>
      <c r="E72" s="124"/>
      <c r="F72" s="124"/>
      <c r="G72" s="124"/>
      <c r="H72" s="11"/>
      <c r="I72" s="11"/>
      <c r="J72" s="11"/>
      <c r="K72" s="11"/>
      <c r="L72" s="11"/>
      <c r="M72" s="11"/>
      <c r="N72" s="11"/>
    </row>
    <row r="73" spans="1:16">
      <c r="A73" s="123" t="s">
        <v>77</v>
      </c>
      <c r="B73" s="124"/>
      <c r="C73" s="124"/>
      <c r="D73" s="124"/>
      <c r="E73" s="124"/>
      <c r="F73" s="124"/>
      <c r="G73" s="124"/>
      <c r="H73" s="124"/>
      <c r="I73" s="124"/>
      <c r="J73" s="124"/>
      <c r="K73" s="124"/>
      <c r="L73" s="124"/>
      <c r="M73" s="11"/>
      <c r="N73" s="11"/>
    </row>
    <row r="74" spans="1:16">
      <c r="A74" s="123" t="s">
        <v>78</v>
      </c>
      <c r="B74" s="124"/>
      <c r="C74" s="124"/>
      <c r="D74" s="124"/>
      <c r="E74" s="124"/>
      <c r="F74" s="124"/>
      <c r="G74" s="124"/>
      <c r="H74" s="124"/>
      <c r="I74" s="124"/>
      <c r="J74" s="124"/>
      <c r="K74" s="124"/>
      <c r="L74" s="124"/>
      <c r="M74" s="11"/>
      <c r="N74" s="11"/>
    </row>
    <row r="75" spans="1:16">
      <c r="A75" s="123" t="s">
        <v>79</v>
      </c>
      <c r="B75" s="124"/>
      <c r="C75" s="124"/>
      <c r="D75" s="124"/>
      <c r="E75" s="124"/>
      <c r="F75" s="124"/>
      <c r="G75" s="124"/>
      <c r="H75" s="124"/>
      <c r="I75" s="124"/>
      <c r="J75" s="124"/>
      <c r="K75" s="124"/>
      <c r="L75" s="124"/>
      <c r="M75" s="11"/>
      <c r="N75" s="11"/>
    </row>
    <row r="76" spans="1:16">
      <c r="A76" s="123" t="s">
        <v>80</v>
      </c>
      <c r="B76" s="124"/>
      <c r="C76" s="124"/>
      <c r="D76" s="124"/>
      <c r="E76" s="124"/>
      <c r="F76" s="124"/>
      <c r="G76" s="124"/>
      <c r="H76" s="124"/>
      <c r="I76" s="124"/>
      <c r="J76" s="124"/>
      <c r="K76" s="124"/>
      <c r="L76" s="124"/>
      <c r="M76" s="11"/>
      <c r="N76" s="11"/>
      <c r="P76" t="s">
        <v>81</v>
      </c>
    </row>
    <row r="77" spans="1:16">
      <c r="A77" s="135" t="s">
        <v>82</v>
      </c>
      <c r="B77" s="124"/>
      <c r="C77" s="124"/>
      <c r="D77" s="124"/>
      <c r="E77" s="124"/>
      <c r="F77" s="124"/>
      <c r="G77" s="124"/>
      <c r="H77" s="124"/>
      <c r="I77" s="124"/>
      <c r="J77" s="124"/>
      <c r="K77" s="124"/>
      <c r="L77" s="124"/>
      <c r="M77" s="11"/>
      <c r="N77" s="11"/>
    </row>
    <row r="78" spans="1:16">
      <c r="A78" s="135" t="s">
        <v>83</v>
      </c>
      <c r="B78" s="124"/>
      <c r="C78" s="124"/>
      <c r="D78" s="124"/>
      <c r="E78" s="124"/>
      <c r="F78" s="23"/>
      <c r="G78" s="23"/>
      <c r="H78" s="23"/>
      <c r="I78" s="23"/>
      <c r="J78" s="23"/>
      <c r="K78" s="23"/>
      <c r="L78" s="23"/>
      <c r="M78" s="11"/>
      <c r="N78" s="11"/>
    </row>
    <row r="79" spans="1:16">
      <c r="A79" s="23" t="s">
        <v>84</v>
      </c>
      <c r="B79" s="23"/>
      <c r="C79" s="23"/>
      <c r="D79" s="23"/>
      <c r="E79" s="23"/>
      <c r="F79" s="11"/>
      <c r="G79" s="11"/>
      <c r="H79" s="11"/>
      <c r="I79" s="11"/>
      <c r="J79" s="11"/>
      <c r="K79" s="11"/>
      <c r="L79" s="11"/>
      <c r="M79" s="11"/>
      <c r="N79" s="11"/>
    </row>
    <row r="80" spans="1:16">
      <c r="A80" s="144" t="s">
        <v>85</v>
      </c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8"/>
      <c r="N80" s="18"/>
    </row>
    <row r="81" spans="1:14" ht="15.75" customHeight="1">
      <c r="A81" s="151" t="s">
        <v>86</v>
      </c>
      <c r="B81" s="121"/>
      <c r="C81" s="121"/>
      <c r="D81" s="121"/>
      <c r="E81" s="121"/>
      <c r="F81" s="121"/>
      <c r="G81" s="121"/>
      <c r="H81" s="121"/>
      <c r="I81" s="121"/>
      <c r="J81" s="121"/>
      <c r="K81" s="121"/>
      <c r="L81" s="152"/>
      <c r="M81" s="59"/>
      <c r="N81" s="59"/>
    </row>
    <row r="82" spans="1:14">
      <c r="A82" s="60" t="s">
        <v>87</v>
      </c>
      <c r="B82" s="61"/>
      <c r="C82" s="62"/>
      <c r="D82" s="62"/>
      <c r="E82" s="62"/>
      <c r="F82" s="62"/>
      <c r="G82" s="62"/>
      <c r="H82" s="64"/>
      <c r="I82" s="63"/>
      <c r="J82" s="63"/>
      <c r="K82" s="64"/>
      <c r="L82" s="65"/>
      <c r="M82" s="7"/>
      <c r="N82" s="7"/>
    </row>
    <row r="83" spans="1:14">
      <c r="A83" s="8"/>
      <c r="B83" s="66" t="s">
        <v>88</v>
      </c>
      <c r="C83" s="66"/>
      <c r="D83" s="66"/>
      <c r="E83" s="66"/>
      <c r="F83" s="66"/>
      <c r="G83" s="7"/>
      <c r="H83" s="35"/>
      <c r="I83" s="67">
        <f>DATA!B2</f>
        <v>500000</v>
      </c>
      <c r="J83" s="7"/>
      <c r="K83" s="35"/>
      <c r="L83" s="67"/>
      <c r="M83" s="7"/>
      <c r="N83" s="7"/>
    </row>
    <row r="84" spans="1:14">
      <c r="A84" s="8"/>
      <c r="B84" s="66" t="s">
        <v>89</v>
      </c>
      <c r="C84" s="66"/>
      <c r="D84" s="66"/>
      <c r="E84" s="66"/>
      <c r="F84" s="66"/>
      <c r="G84" s="7"/>
      <c r="H84" s="35"/>
      <c r="I84" s="8"/>
      <c r="J84" s="8"/>
      <c r="K84" s="35"/>
      <c r="L84" s="67"/>
      <c r="M84" s="7"/>
      <c r="N84" s="7"/>
    </row>
    <row r="85" spans="1:14">
      <c r="A85" s="8"/>
      <c r="B85" s="66" t="s">
        <v>90</v>
      </c>
      <c r="C85" s="66"/>
      <c r="D85" s="66"/>
      <c r="E85" s="66"/>
      <c r="F85" s="66"/>
      <c r="G85" s="7"/>
      <c r="H85" s="35"/>
      <c r="I85" s="67">
        <v>0</v>
      </c>
      <c r="J85" s="7"/>
      <c r="K85" s="35"/>
      <c r="L85" s="67"/>
      <c r="M85" s="7"/>
      <c r="N85" s="7"/>
    </row>
    <row r="86" spans="1:14">
      <c r="A86" s="8"/>
      <c r="B86" s="66" t="s">
        <v>91</v>
      </c>
      <c r="C86" s="66"/>
      <c r="D86" s="66"/>
      <c r="E86" s="66"/>
      <c r="F86" s="66"/>
      <c r="G86" s="7"/>
      <c r="H86" s="35"/>
      <c r="I86" s="67"/>
      <c r="J86" s="7"/>
      <c r="K86" s="35"/>
      <c r="L86" s="67"/>
      <c r="M86" s="7"/>
      <c r="N86" s="7"/>
    </row>
    <row r="87" spans="1:14">
      <c r="A87" s="8"/>
      <c r="B87" s="66" t="s">
        <v>90</v>
      </c>
      <c r="C87" s="66"/>
      <c r="D87" s="66"/>
      <c r="E87" s="66"/>
      <c r="F87" s="66"/>
      <c r="G87" s="7"/>
      <c r="H87" s="35"/>
      <c r="I87" s="67">
        <v>0</v>
      </c>
      <c r="J87" s="7"/>
      <c r="K87" s="35"/>
      <c r="L87" s="67"/>
      <c r="M87" s="7"/>
      <c r="N87" s="7"/>
    </row>
    <row r="88" spans="1:14">
      <c r="A88" s="8"/>
      <c r="B88" s="66" t="s">
        <v>92</v>
      </c>
      <c r="C88" s="66"/>
      <c r="D88" s="66"/>
      <c r="E88" s="66"/>
      <c r="F88" s="66"/>
      <c r="G88" s="7"/>
      <c r="H88" s="35"/>
      <c r="I88" s="67"/>
      <c r="J88" s="143">
        <f>I83+I85+I87</f>
        <v>500000</v>
      </c>
      <c r="K88" s="114"/>
      <c r="L88" s="67"/>
      <c r="M88" s="7"/>
      <c r="N88" s="7"/>
    </row>
    <row r="89" spans="1:14">
      <c r="A89" s="8"/>
      <c r="B89" s="66" t="s">
        <v>93</v>
      </c>
      <c r="C89" s="66"/>
      <c r="D89" s="66"/>
      <c r="E89" s="66"/>
      <c r="F89" s="66"/>
      <c r="G89" s="7"/>
      <c r="H89" s="35"/>
      <c r="I89" s="67"/>
      <c r="J89" s="45">
        <v>0</v>
      </c>
      <c r="K89" s="9"/>
      <c r="L89" s="67"/>
      <c r="M89" s="7"/>
      <c r="N89" s="7"/>
    </row>
    <row r="90" spans="1:14">
      <c r="A90" s="8"/>
      <c r="B90" s="7"/>
      <c r="C90" s="7"/>
      <c r="D90" s="7"/>
      <c r="E90" s="7"/>
      <c r="F90" s="7"/>
      <c r="G90" s="7"/>
      <c r="H90" s="35"/>
      <c r="I90" s="67">
        <f>DATA!B2</f>
        <v>500000</v>
      </c>
      <c r="J90" s="7"/>
      <c r="K90" s="35"/>
      <c r="L90" s="67"/>
      <c r="M90" s="7"/>
      <c r="N90" s="7"/>
    </row>
    <row r="91" spans="1:14">
      <c r="A91" s="68" t="s">
        <v>94</v>
      </c>
      <c r="B91" s="7"/>
      <c r="C91" s="7"/>
      <c r="D91" s="7"/>
      <c r="E91" s="7"/>
      <c r="F91" s="7"/>
      <c r="G91" s="7"/>
      <c r="H91" s="35"/>
      <c r="I91" s="8"/>
      <c r="J91" s="8"/>
      <c r="K91" s="35"/>
      <c r="L91" s="67"/>
      <c r="M91" s="7"/>
      <c r="N91" s="7"/>
    </row>
    <row r="92" spans="1:14">
      <c r="A92" s="147" t="s">
        <v>95</v>
      </c>
      <c r="B92" s="124"/>
      <c r="C92" s="124"/>
      <c r="D92" s="124"/>
      <c r="E92" s="124"/>
      <c r="F92" s="124"/>
      <c r="G92" s="124"/>
      <c r="H92" s="35"/>
      <c r="I92" s="67"/>
      <c r="J92" s="7"/>
      <c r="K92" s="35"/>
      <c r="L92" s="67"/>
      <c r="M92" s="7"/>
      <c r="N92" s="7"/>
    </row>
    <row r="93" spans="1:14">
      <c r="A93" s="147" t="s">
        <v>96</v>
      </c>
      <c r="B93" s="124"/>
      <c r="C93" s="124"/>
      <c r="D93" s="124"/>
      <c r="E93" s="124"/>
      <c r="F93" s="124"/>
      <c r="G93" s="124"/>
      <c r="H93" s="35"/>
      <c r="I93" s="69"/>
      <c r="J93" s="7"/>
      <c r="K93" s="35"/>
      <c r="L93" s="67"/>
      <c r="M93" s="7"/>
      <c r="N93" s="7"/>
    </row>
    <row r="94" spans="1:14">
      <c r="A94" s="68" t="s">
        <v>97</v>
      </c>
      <c r="B94" s="7"/>
      <c r="C94" s="7"/>
      <c r="D94" s="7"/>
      <c r="E94" s="7"/>
      <c r="F94" s="7"/>
      <c r="G94" s="7"/>
      <c r="H94" s="35"/>
      <c r="I94" s="8">
        <f>DATA!B3</f>
        <v>0</v>
      </c>
      <c r="J94" s="113">
        <f>J88-J93</f>
        <v>500000</v>
      </c>
      <c r="K94" s="114"/>
      <c r="L94" s="67"/>
      <c r="M94" s="7"/>
      <c r="N94" s="7"/>
    </row>
    <row r="95" spans="1:14">
      <c r="A95" s="8"/>
      <c r="B95" s="7"/>
      <c r="C95" s="7"/>
      <c r="D95" s="7"/>
      <c r="E95" s="7"/>
      <c r="F95" s="7"/>
      <c r="G95" s="7"/>
      <c r="H95" s="35"/>
      <c r="I95" s="8">
        <f>50000+DATA!B3</f>
        <v>50000</v>
      </c>
      <c r="J95" s="8"/>
      <c r="K95" s="35"/>
      <c r="L95" s="67"/>
      <c r="M95" s="7"/>
      <c r="N95" s="7"/>
    </row>
    <row r="96" spans="1:14">
      <c r="A96" s="68" t="s">
        <v>98</v>
      </c>
      <c r="B96" s="7"/>
      <c r="C96" s="7"/>
      <c r="D96" s="7"/>
      <c r="E96" s="7"/>
      <c r="F96" s="7"/>
      <c r="G96" s="7"/>
      <c r="H96" s="35"/>
      <c r="I96" s="8"/>
      <c r="J96" s="8"/>
      <c r="K96" s="35"/>
      <c r="L96" s="67"/>
      <c r="M96" s="7"/>
      <c r="N96" s="7"/>
    </row>
    <row r="97" spans="1:16">
      <c r="A97" s="8"/>
      <c r="B97" s="66" t="s">
        <v>99</v>
      </c>
      <c r="C97" s="66"/>
      <c r="D97" s="66"/>
      <c r="E97" s="66"/>
      <c r="F97" s="66" t="s">
        <v>100</v>
      </c>
      <c r="G97" s="98">
        <v>50000</v>
      </c>
      <c r="H97" s="71"/>
      <c r="I97" s="8">
        <f>I90-I95</f>
        <v>450000</v>
      </c>
      <c r="J97" s="8"/>
      <c r="K97" s="35"/>
      <c r="L97" s="67"/>
      <c r="M97" s="7"/>
      <c r="N97" s="7"/>
      <c r="P97" t="s">
        <v>159</v>
      </c>
    </row>
    <row r="98" spans="1:16">
      <c r="A98" s="8"/>
      <c r="B98" s="66" t="s">
        <v>101</v>
      </c>
      <c r="C98" s="66"/>
      <c r="D98" s="66"/>
      <c r="E98" s="66"/>
      <c r="F98" s="66" t="s">
        <v>100</v>
      </c>
      <c r="G98" s="66">
        <v>0</v>
      </c>
      <c r="H98" s="101"/>
      <c r="I98" s="8"/>
      <c r="J98" s="8"/>
      <c r="K98" s="35"/>
      <c r="L98" s="67"/>
      <c r="M98" s="7"/>
      <c r="N98" s="7"/>
    </row>
    <row r="99" spans="1:16">
      <c r="A99" s="8"/>
      <c r="B99" s="66" t="s">
        <v>102</v>
      </c>
      <c r="C99" s="66"/>
      <c r="D99" s="66"/>
      <c r="E99" s="66"/>
      <c r="F99" s="66" t="s">
        <v>100</v>
      </c>
      <c r="G99" s="183">
        <f>DATA!B3</f>
        <v>0</v>
      </c>
      <c r="H99" s="101"/>
      <c r="I99" s="8"/>
      <c r="J99" s="8"/>
      <c r="K99" s="35"/>
      <c r="L99" s="67"/>
      <c r="M99" s="7"/>
      <c r="N99" s="7"/>
    </row>
    <row r="100" spans="1:16">
      <c r="A100" s="68" t="s">
        <v>103</v>
      </c>
      <c r="B100" s="7"/>
      <c r="C100" s="7"/>
      <c r="D100" s="7"/>
      <c r="E100" s="7"/>
      <c r="F100" s="7"/>
      <c r="G100" s="7"/>
      <c r="H100" s="35"/>
      <c r="I100" s="72">
        <f>G97+G99</f>
        <v>50000</v>
      </c>
      <c r="J100" s="8"/>
      <c r="K100" s="35"/>
      <c r="L100" s="67"/>
      <c r="M100" s="7"/>
      <c r="N100" s="7"/>
    </row>
    <row r="101" spans="1:16">
      <c r="A101" s="8"/>
      <c r="B101" s="7"/>
      <c r="C101" s="7"/>
      <c r="D101" s="7"/>
      <c r="E101" s="7"/>
      <c r="F101" s="7"/>
      <c r="G101" s="7"/>
      <c r="H101" s="35"/>
      <c r="I101" s="8">
        <f>I97+DATA!B5</f>
        <v>450000</v>
      </c>
      <c r="J101" s="8"/>
      <c r="K101" s="35"/>
      <c r="L101" s="67"/>
      <c r="M101" s="7"/>
      <c r="N101" s="7"/>
    </row>
    <row r="102" spans="1:16">
      <c r="A102" s="68" t="s">
        <v>104</v>
      </c>
      <c r="B102" s="7"/>
      <c r="C102" s="7"/>
      <c r="D102" s="7"/>
      <c r="E102" s="7"/>
      <c r="F102" s="7"/>
      <c r="G102" s="7"/>
      <c r="H102" s="35"/>
      <c r="I102" s="8"/>
      <c r="J102" s="8"/>
      <c r="K102" s="7"/>
      <c r="L102" s="67">
        <f>J94-I100</f>
        <v>450000</v>
      </c>
      <c r="M102" s="7"/>
      <c r="N102" s="7"/>
    </row>
    <row r="103" spans="1:16">
      <c r="A103" s="68"/>
      <c r="B103" s="7"/>
      <c r="C103" s="7"/>
      <c r="D103" s="7"/>
      <c r="E103" s="7"/>
      <c r="F103" s="7"/>
      <c r="G103" s="7"/>
      <c r="H103" s="35"/>
      <c r="I103" s="8"/>
      <c r="J103" s="8"/>
      <c r="K103" s="7"/>
      <c r="L103" s="67"/>
      <c r="M103" s="7"/>
      <c r="N103" s="7"/>
    </row>
    <row r="104" spans="1:16">
      <c r="A104" s="68" t="s">
        <v>105</v>
      </c>
      <c r="B104" s="7"/>
      <c r="C104" s="7"/>
      <c r="D104" s="7"/>
      <c r="E104" s="7"/>
      <c r="F104" s="7"/>
      <c r="G104" s="7"/>
      <c r="H104" s="35"/>
      <c r="I104" s="8"/>
      <c r="J104" s="8"/>
      <c r="K104" s="7"/>
      <c r="L104" s="13">
        <v>0</v>
      </c>
      <c r="M104" s="45"/>
      <c r="N104" s="45"/>
    </row>
    <row r="105" spans="1:16">
      <c r="A105" s="68"/>
      <c r="B105" s="7" t="s">
        <v>106</v>
      </c>
      <c r="C105" s="7"/>
      <c r="D105" s="7"/>
      <c r="E105" s="7"/>
      <c r="F105" s="7"/>
      <c r="G105" s="7"/>
      <c r="H105" s="35"/>
      <c r="I105" s="8"/>
      <c r="J105" s="8"/>
      <c r="K105" s="7"/>
      <c r="L105" s="13">
        <v>0</v>
      </c>
      <c r="M105" s="45"/>
      <c r="N105" s="45"/>
    </row>
    <row r="106" spans="1:16">
      <c r="A106" s="68"/>
      <c r="B106" s="7"/>
      <c r="C106" s="7"/>
      <c r="D106" s="7"/>
      <c r="E106" s="7"/>
      <c r="F106" s="7"/>
      <c r="G106" s="7"/>
      <c r="H106" s="35"/>
      <c r="I106" s="8"/>
      <c r="J106" s="8"/>
      <c r="K106" s="7"/>
      <c r="L106" s="13"/>
      <c r="M106" s="45"/>
      <c r="N106" s="45"/>
    </row>
    <row r="107" spans="1:16">
      <c r="A107" s="102" t="s">
        <v>107</v>
      </c>
      <c r="B107" s="39"/>
      <c r="C107" s="39"/>
      <c r="D107" s="39"/>
      <c r="E107" s="39"/>
      <c r="F107" s="39"/>
      <c r="G107" s="39"/>
      <c r="H107" s="81"/>
      <c r="I107" s="8"/>
      <c r="J107" s="8"/>
      <c r="K107" s="35"/>
      <c r="L107" s="73">
        <f>L102+L105</f>
        <v>450000</v>
      </c>
      <c r="M107" s="7"/>
      <c r="N107" s="7"/>
    </row>
    <row r="108" spans="1:16">
      <c r="A108" s="60"/>
      <c r="B108" s="62"/>
      <c r="C108" s="62"/>
      <c r="D108" s="62"/>
      <c r="E108" s="62"/>
      <c r="F108" s="64"/>
      <c r="G108" s="63"/>
      <c r="H108" s="64"/>
      <c r="I108" s="62"/>
      <c r="J108" s="64"/>
      <c r="K108" s="62"/>
      <c r="L108" s="64"/>
      <c r="M108" s="7"/>
      <c r="N108" s="7"/>
    </row>
    <row r="109" spans="1:16">
      <c r="A109" s="161" t="s">
        <v>108</v>
      </c>
      <c r="B109" s="124"/>
      <c r="C109" s="124"/>
      <c r="D109" s="124"/>
      <c r="E109" s="7"/>
      <c r="F109" s="35"/>
      <c r="G109" s="8"/>
      <c r="H109" s="35"/>
      <c r="I109" s="7"/>
      <c r="J109" s="35"/>
      <c r="K109" s="7"/>
      <c r="L109" s="35"/>
      <c r="M109" s="7"/>
      <c r="N109" s="7"/>
    </row>
    <row r="110" spans="1:16">
      <c r="A110" s="74" t="s">
        <v>109</v>
      </c>
      <c r="B110" s="7" t="s">
        <v>110</v>
      </c>
      <c r="C110" s="7"/>
      <c r="D110" s="7"/>
      <c r="E110" s="7"/>
      <c r="F110" s="103"/>
      <c r="G110" s="68" t="s">
        <v>111</v>
      </c>
      <c r="H110" s="70"/>
      <c r="I110" s="134" t="s">
        <v>112</v>
      </c>
      <c r="J110" s="114"/>
      <c r="K110" s="68" t="s">
        <v>113</v>
      </c>
      <c r="L110" s="73" t="s">
        <v>114</v>
      </c>
      <c r="M110" s="7"/>
      <c r="N110" s="7"/>
    </row>
    <row r="111" spans="1:16">
      <c r="A111" s="100" t="s">
        <v>115</v>
      </c>
      <c r="B111" s="7" t="s">
        <v>116</v>
      </c>
      <c r="C111" s="7"/>
      <c r="D111" s="7"/>
      <c r="E111" s="7"/>
      <c r="F111" s="35"/>
      <c r="G111" s="113"/>
      <c r="H111" s="114"/>
      <c r="I111" s="113"/>
      <c r="J111" s="114"/>
      <c r="K111" s="113"/>
      <c r="L111" s="114"/>
      <c r="M111" s="45"/>
      <c r="N111" s="45"/>
    </row>
    <row r="112" spans="1:16">
      <c r="A112" s="100"/>
      <c r="B112" s="7" t="s">
        <v>117</v>
      </c>
      <c r="C112" s="136" t="s">
        <v>118</v>
      </c>
      <c r="D112" s="137"/>
      <c r="E112" s="137"/>
      <c r="F112" s="35" t="s">
        <v>100</v>
      </c>
      <c r="G112" s="113">
        <f>DATA!B4</f>
        <v>21600</v>
      </c>
      <c r="H112" s="114"/>
      <c r="I112" s="113">
        <f>G112</f>
        <v>21600</v>
      </c>
      <c r="J112" s="114"/>
      <c r="K112" s="113">
        <f>G112</f>
        <v>21600</v>
      </c>
      <c r="L112" s="114"/>
      <c r="M112" s="45"/>
      <c r="N112" s="45"/>
      <c r="P112" t="s">
        <v>119</v>
      </c>
    </row>
    <row r="113" spans="1:14">
      <c r="A113" s="100"/>
      <c r="B113" s="7" t="s">
        <v>120</v>
      </c>
      <c r="C113" s="136"/>
      <c r="D113" s="137"/>
      <c r="E113" s="137"/>
      <c r="F113" s="35" t="s">
        <v>100</v>
      </c>
      <c r="G113" s="113">
        <v>0</v>
      </c>
      <c r="H113" s="114"/>
      <c r="I113" s="113">
        <v>0</v>
      </c>
      <c r="J113" s="114"/>
      <c r="K113" s="113">
        <v>0</v>
      </c>
      <c r="L113" s="114"/>
      <c r="M113" s="45"/>
      <c r="N113" s="45"/>
    </row>
    <row r="114" spans="1:14">
      <c r="A114" s="100"/>
      <c r="B114" s="7" t="s">
        <v>121</v>
      </c>
      <c r="C114" s="136"/>
      <c r="D114" s="137"/>
      <c r="E114" s="137"/>
      <c r="F114" s="35" t="s">
        <v>100</v>
      </c>
      <c r="G114" s="113">
        <v>0</v>
      </c>
      <c r="H114" s="114"/>
      <c r="I114" s="113">
        <v>0</v>
      </c>
      <c r="J114" s="114"/>
      <c r="K114" s="113">
        <v>0</v>
      </c>
      <c r="L114" s="114"/>
      <c r="M114" s="45"/>
      <c r="N114" s="45"/>
    </row>
    <row r="115" spans="1:14">
      <c r="A115" s="100" t="s">
        <v>122</v>
      </c>
      <c r="B115" s="7" t="s">
        <v>123</v>
      </c>
      <c r="C115" s="7"/>
      <c r="D115" s="7"/>
      <c r="E115" s="7"/>
      <c r="F115" s="35" t="s">
        <v>100</v>
      </c>
      <c r="G115" s="113">
        <v>0</v>
      </c>
      <c r="H115" s="114"/>
      <c r="I115" s="113">
        <v>0</v>
      </c>
      <c r="J115" s="114"/>
      <c r="K115" s="113">
        <v>0</v>
      </c>
      <c r="L115" s="114"/>
      <c r="M115" s="45"/>
      <c r="N115" s="45"/>
    </row>
    <row r="116" spans="1:14">
      <c r="A116" s="100" t="s">
        <v>124</v>
      </c>
      <c r="B116" s="7" t="s">
        <v>125</v>
      </c>
      <c r="C116" s="7"/>
      <c r="D116" s="7"/>
      <c r="E116" s="7"/>
      <c r="F116" s="35" t="s">
        <v>100</v>
      </c>
      <c r="G116" s="113">
        <v>0</v>
      </c>
      <c r="H116" s="114"/>
      <c r="I116" s="113">
        <v>0</v>
      </c>
      <c r="J116" s="114"/>
      <c r="K116" s="113">
        <v>0</v>
      </c>
      <c r="L116" s="114"/>
      <c r="M116" s="45"/>
      <c r="N116" s="45"/>
    </row>
    <row r="117" spans="1:14">
      <c r="A117" s="68" t="s">
        <v>126</v>
      </c>
      <c r="B117" s="7"/>
      <c r="C117" s="7"/>
      <c r="D117" s="7"/>
      <c r="E117" s="7"/>
      <c r="F117" s="35"/>
      <c r="G117" s="10"/>
      <c r="H117" s="9"/>
      <c r="I117" s="45"/>
      <c r="J117" s="9"/>
      <c r="K117" s="45"/>
      <c r="L117" s="106">
        <f>K112+K113+K114+K115+K116</f>
        <v>21600</v>
      </c>
      <c r="M117" s="7"/>
      <c r="N117" s="7"/>
    </row>
    <row r="118" spans="1:14">
      <c r="A118" s="68" t="s">
        <v>127</v>
      </c>
      <c r="B118" s="7"/>
      <c r="C118" s="7"/>
      <c r="D118" s="7"/>
      <c r="E118" s="7"/>
      <c r="F118" s="35"/>
      <c r="G118" s="10"/>
      <c r="H118" s="9"/>
      <c r="I118" s="45">
        <f>DATA!B4</f>
        <v>21600</v>
      </c>
      <c r="J118" s="9"/>
      <c r="K118" s="45"/>
      <c r="L118" s="35"/>
      <c r="M118" s="7"/>
      <c r="N118" s="7"/>
    </row>
    <row r="119" spans="1:14">
      <c r="A119" s="68"/>
      <c r="B119" s="7"/>
      <c r="C119" s="7"/>
      <c r="D119" s="7"/>
      <c r="E119" s="7"/>
      <c r="F119" s="35"/>
      <c r="G119" s="10"/>
      <c r="H119" s="9"/>
      <c r="I119" s="45"/>
      <c r="J119" s="9"/>
      <c r="K119" s="45"/>
      <c r="L119" s="35"/>
      <c r="M119" s="7"/>
      <c r="N119" s="7"/>
    </row>
    <row r="120" spans="1:14">
      <c r="A120" s="104" t="s">
        <v>128</v>
      </c>
      <c r="B120" s="39" t="s">
        <v>129</v>
      </c>
      <c r="C120" s="39"/>
      <c r="D120" s="39"/>
      <c r="E120" s="39"/>
      <c r="F120" s="81" t="s">
        <v>100</v>
      </c>
      <c r="G120" s="113">
        <v>0</v>
      </c>
      <c r="H120" s="114"/>
      <c r="I120" s="113">
        <v>0</v>
      </c>
      <c r="J120" s="114"/>
      <c r="K120" s="157">
        <v>0</v>
      </c>
      <c r="L120" s="158"/>
      <c r="M120" s="45"/>
      <c r="N120" s="45"/>
    </row>
    <row r="121" spans="1:14">
      <c r="A121" s="76"/>
      <c r="B121" s="77"/>
      <c r="C121" s="77"/>
      <c r="D121" s="77"/>
      <c r="E121" s="77"/>
      <c r="F121" s="77"/>
      <c r="G121" s="44"/>
      <c r="H121" s="44"/>
      <c r="I121" s="44"/>
      <c r="J121" s="44"/>
      <c r="K121" s="44"/>
      <c r="L121" s="4"/>
      <c r="M121" s="45"/>
      <c r="N121" s="45"/>
    </row>
    <row r="122" spans="1:14">
      <c r="A122" s="105" t="s">
        <v>130</v>
      </c>
      <c r="B122" s="62" t="s">
        <v>131</v>
      </c>
      <c r="C122" s="62"/>
      <c r="D122" s="62"/>
      <c r="E122" s="62"/>
      <c r="F122" s="64"/>
      <c r="G122" s="10"/>
      <c r="H122" s="45"/>
      <c r="I122" s="10"/>
      <c r="J122" s="49"/>
      <c r="K122" s="45"/>
      <c r="L122" s="9"/>
      <c r="M122" s="45"/>
      <c r="N122" s="45"/>
    </row>
    <row r="123" spans="1:14">
      <c r="A123" s="74"/>
      <c r="B123" s="7"/>
      <c r="C123" s="7"/>
      <c r="D123" s="7"/>
      <c r="E123" s="7"/>
      <c r="F123" s="35"/>
      <c r="G123" s="68" t="s">
        <v>111</v>
      </c>
      <c r="H123" s="70"/>
      <c r="I123" s="134" t="s">
        <v>112</v>
      </c>
      <c r="J123" s="114"/>
      <c r="K123" s="68" t="s">
        <v>113</v>
      </c>
      <c r="L123" s="73" t="s">
        <v>114</v>
      </c>
      <c r="M123" s="45"/>
      <c r="N123" s="45"/>
    </row>
    <row r="124" spans="1:14">
      <c r="A124" s="74"/>
      <c r="B124" s="7" t="s">
        <v>117</v>
      </c>
      <c r="C124" s="136"/>
      <c r="D124" s="137"/>
      <c r="E124" s="137"/>
      <c r="F124" s="35" t="s">
        <v>100</v>
      </c>
      <c r="G124" s="113">
        <v>0</v>
      </c>
      <c r="H124" s="114"/>
      <c r="I124" s="113">
        <v>0</v>
      </c>
      <c r="J124" s="114"/>
      <c r="K124" s="113">
        <v>0</v>
      </c>
      <c r="L124" s="114"/>
      <c r="M124" s="45"/>
      <c r="N124" s="45"/>
    </row>
    <row r="125" spans="1:14">
      <c r="A125" s="74"/>
      <c r="B125" s="7" t="s">
        <v>120</v>
      </c>
      <c r="C125" s="136"/>
      <c r="D125" s="137"/>
      <c r="E125" s="137"/>
      <c r="F125" s="35" t="s">
        <v>100</v>
      </c>
      <c r="G125" s="113">
        <v>0</v>
      </c>
      <c r="H125" s="114"/>
      <c r="I125" s="113">
        <f>I101-I118</f>
        <v>428400</v>
      </c>
      <c r="J125" s="114"/>
      <c r="K125" s="113">
        <v>0</v>
      </c>
      <c r="L125" s="114"/>
      <c r="M125" s="45"/>
      <c r="N125" s="45"/>
    </row>
    <row r="126" spans="1:14">
      <c r="A126" s="74"/>
      <c r="B126" s="7" t="s">
        <v>121</v>
      </c>
      <c r="C126" s="136"/>
      <c r="D126" s="137"/>
      <c r="E126" s="137"/>
      <c r="F126" s="35" t="s">
        <v>100</v>
      </c>
      <c r="G126" s="113">
        <v>0</v>
      </c>
      <c r="H126" s="114"/>
      <c r="I126" s="113">
        <v>0</v>
      </c>
      <c r="J126" s="114"/>
      <c r="K126" s="113">
        <v>0</v>
      </c>
      <c r="L126" s="114"/>
      <c r="M126" s="45"/>
      <c r="N126" s="45"/>
    </row>
    <row r="127" spans="1:14">
      <c r="A127" s="78" t="s">
        <v>132</v>
      </c>
      <c r="B127" s="7"/>
      <c r="C127" s="7"/>
      <c r="D127" s="7"/>
      <c r="E127" s="7"/>
      <c r="F127" s="35"/>
      <c r="G127" s="113"/>
      <c r="H127" s="114"/>
      <c r="I127" s="113"/>
      <c r="J127" s="114"/>
      <c r="K127" s="157">
        <v>0</v>
      </c>
      <c r="L127" s="158"/>
      <c r="M127" s="45"/>
      <c r="N127" s="45"/>
    </row>
    <row r="128" spans="1:14">
      <c r="A128" s="68"/>
      <c r="B128" s="7"/>
      <c r="C128" s="7"/>
      <c r="D128" s="7"/>
      <c r="E128" s="7"/>
      <c r="F128" s="35"/>
      <c r="G128" s="8"/>
      <c r="H128" s="35"/>
      <c r="I128" s="8">
        <f>DATA!B6</f>
        <v>0</v>
      </c>
      <c r="J128" s="35"/>
      <c r="K128" s="113"/>
      <c r="L128" s="114"/>
      <c r="M128" s="45"/>
      <c r="N128" s="45"/>
    </row>
    <row r="129" spans="1:15">
      <c r="A129" s="68" t="s">
        <v>133</v>
      </c>
      <c r="B129" s="7"/>
      <c r="C129" s="7"/>
      <c r="D129" s="7"/>
      <c r="E129" s="7"/>
      <c r="F129" s="35"/>
      <c r="G129" s="8"/>
      <c r="H129" s="35"/>
      <c r="I129" s="8"/>
      <c r="J129" s="35"/>
      <c r="K129" s="7"/>
      <c r="L129" s="14">
        <f>L107-K127</f>
        <v>450000</v>
      </c>
      <c r="M129" s="7"/>
      <c r="N129" s="7"/>
      <c r="O129" s="23"/>
    </row>
    <row r="130" spans="1:15">
      <c r="A130" s="68"/>
      <c r="B130" s="7"/>
      <c r="C130" s="7"/>
      <c r="D130" s="7"/>
      <c r="E130" s="7"/>
      <c r="F130" s="35"/>
      <c r="G130" s="8"/>
      <c r="H130" s="35"/>
      <c r="I130" s="8"/>
      <c r="J130" s="35"/>
      <c r="K130" s="7"/>
      <c r="L130" s="13"/>
      <c r="M130" s="7"/>
      <c r="N130" s="7"/>
      <c r="O130" s="23"/>
    </row>
    <row r="131" spans="1:15">
      <c r="A131" s="68" t="s">
        <v>134</v>
      </c>
      <c r="B131" s="7"/>
      <c r="C131" s="7"/>
      <c r="D131" s="7"/>
      <c r="E131" s="7"/>
      <c r="F131" s="35"/>
      <c r="G131" s="8"/>
      <c r="H131" s="35"/>
      <c r="I131" s="8">
        <f>I128*0.04</f>
        <v>0</v>
      </c>
      <c r="J131" s="35"/>
      <c r="K131" s="7"/>
      <c r="L131" s="94">
        <v>0</v>
      </c>
      <c r="M131" s="79"/>
      <c r="N131" s="79"/>
      <c r="O131" s="23"/>
    </row>
    <row r="132" spans="1:15">
      <c r="A132" s="80" t="s">
        <v>135</v>
      </c>
      <c r="B132" s="7"/>
      <c r="C132" s="7"/>
      <c r="D132" s="7"/>
      <c r="E132" s="7"/>
      <c r="F132" s="35"/>
      <c r="G132" s="8"/>
      <c r="H132" s="35"/>
      <c r="I132" s="7">
        <f>I128+I131</f>
        <v>0</v>
      </c>
      <c r="J132" s="7"/>
      <c r="K132" s="7"/>
      <c r="L132" s="14">
        <v>0</v>
      </c>
      <c r="M132" s="7"/>
      <c r="N132" s="7"/>
      <c r="O132" s="23"/>
    </row>
    <row r="133" spans="1:15">
      <c r="A133" s="68" t="s">
        <v>136</v>
      </c>
      <c r="B133" s="7"/>
      <c r="C133" s="7"/>
      <c r="D133" s="7"/>
      <c r="E133" s="7"/>
      <c r="F133" s="35"/>
      <c r="G133" s="8"/>
      <c r="H133" s="35"/>
      <c r="I133" s="7"/>
      <c r="J133" s="7"/>
      <c r="K133" s="7"/>
      <c r="L133" s="15">
        <v>0</v>
      </c>
      <c r="M133" s="7"/>
      <c r="N133" s="7"/>
      <c r="O133" s="23"/>
    </row>
    <row r="134" spans="1:15">
      <c r="A134" s="68" t="s">
        <v>137</v>
      </c>
      <c r="B134" s="7"/>
      <c r="C134" s="7"/>
      <c r="D134" s="7"/>
      <c r="E134" s="7"/>
      <c r="F134" s="35"/>
      <c r="G134" s="8"/>
      <c r="H134" s="35"/>
      <c r="I134" s="7"/>
      <c r="J134" s="7"/>
      <c r="K134" s="7"/>
      <c r="L134" s="15">
        <v>0</v>
      </c>
      <c r="M134" s="7"/>
      <c r="N134" s="7"/>
      <c r="O134" s="23"/>
    </row>
    <row r="135" spans="1:15">
      <c r="A135" s="68" t="s">
        <v>138</v>
      </c>
      <c r="B135" s="7"/>
      <c r="C135" s="7"/>
      <c r="D135" s="7"/>
      <c r="E135" s="7"/>
      <c r="F135" s="35"/>
      <c r="G135" s="8"/>
      <c r="H135" s="35"/>
      <c r="I135" s="7">
        <f>DATA!B6</f>
        <v>0</v>
      </c>
      <c r="J135" s="7"/>
      <c r="K135" s="7"/>
      <c r="L135" s="15">
        <v>0</v>
      </c>
      <c r="M135" s="7"/>
      <c r="N135" s="7"/>
      <c r="O135" s="23"/>
    </row>
    <row r="136" spans="1:15">
      <c r="A136" s="68" t="s">
        <v>139</v>
      </c>
      <c r="B136" s="7"/>
      <c r="C136" s="7"/>
      <c r="D136" s="7"/>
      <c r="E136" s="7"/>
      <c r="F136" s="35"/>
      <c r="G136" s="8"/>
      <c r="H136" s="35"/>
      <c r="I136" s="7">
        <f>I132-I135</f>
        <v>0</v>
      </c>
      <c r="J136" s="7"/>
      <c r="K136" s="7"/>
      <c r="L136" s="67">
        <v>0</v>
      </c>
      <c r="M136" s="7"/>
      <c r="N136" s="7"/>
      <c r="O136" s="23"/>
    </row>
    <row r="137" spans="1:15">
      <c r="A137" s="68" t="s">
        <v>140</v>
      </c>
      <c r="B137" s="7"/>
      <c r="C137" s="7"/>
      <c r="D137" s="7"/>
      <c r="E137" s="7"/>
      <c r="F137" s="35"/>
      <c r="G137" s="8"/>
      <c r="H137" s="35"/>
      <c r="I137" s="7"/>
      <c r="J137" s="7"/>
      <c r="K137" s="7"/>
      <c r="L137" s="15">
        <v>0</v>
      </c>
      <c r="M137" s="7"/>
      <c r="N137" s="7"/>
      <c r="O137" s="23"/>
    </row>
    <row r="138" spans="1:15">
      <c r="A138" s="68" t="s">
        <v>141</v>
      </c>
      <c r="B138" s="7"/>
      <c r="C138" s="7"/>
      <c r="D138" s="7"/>
      <c r="E138" s="7"/>
      <c r="F138" s="35"/>
      <c r="G138" s="8"/>
      <c r="H138" s="35"/>
      <c r="I138" s="7"/>
      <c r="J138" s="7"/>
      <c r="K138" s="7"/>
      <c r="L138" s="67">
        <v>0</v>
      </c>
      <c r="M138" s="7"/>
      <c r="N138" s="7"/>
      <c r="O138" s="23"/>
    </row>
    <row r="139" spans="1:15">
      <c r="A139" s="102" t="s">
        <v>142</v>
      </c>
      <c r="B139" s="39"/>
      <c r="C139" s="39"/>
      <c r="D139" s="39"/>
      <c r="E139" s="39"/>
      <c r="F139" s="81"/>
      <c r="G139" s="8"/>
      <c r="H139" s="35"/>
      <c r="I139" s="7"/>
      <c r="J139" s="7"/>
      <c r="K139" s="7"/>
      <c r="L139" s="15">
        <v>0</v>
      </c>
      <c r="M139" s="7"/>
      <c r="N139" s="7"/>
      <c r="O139" s="23"/>
    </row>
    <row r="140" spans="1:15">
      <c r="A140" s="167" t="s">
        <v>60</v>
      </c>
      <c r="B140" s="108"/>
      <c r="C140" s="108"/>
      <c r="D140" s="108"/>
      <c r="E140" s="108"/>
      <c r="F140" s="108"/>
      <c r="G140" s="108"/>
      <c r="H140" s="108"/>
      <c r="I140" s="108"/>
      <c r="J140" s="108"/>
      <c r="K140" s="108"/>
      <c r="L140" s="109"/>
      <c r="M140" s="7"/>
      <c r="N140" s="7"/>
      <c r="O140" s="23"/>
    </row>
    <row r="141" spans="1:15">
      <c r="A141" s="88" t="s">
        <v>61</v>
      </c>
      <c r="B141" s="133" t="s">
        <v>62</v>
      </c>
      <c r="C141" s="108"/>
      <c r="D141" s="108"/>
      <c r="E141" s="89" t="s">
        <v>63</v>
      </c>
      <c r="F141" s="86"/>
      <c r="G141" s="111" t="s">
        <v>64</v>
      </c>
      <c r="H141" s="112"/>
      <c r="I141" s="112"/>
      <c r="J141" s="89" t="s">
        <v>65</v>
      </c>
      <c r="K141" s="86"/>
      <c r="L141" s="87"/>
      <c r="M141" s="1"/>
      <c r="N141" s="1"/>
      <c r="O141" s="23"/>
    </row>
    <row r="142" spans="1:15">
      <c r="A142" s="129" t="s">
        <v>66</v>
      </c>
      <c r="B142" s="121"/>
      <c r="C142" s="121"/>
      <c r="D142" s="92" t="s">
        <v>143</v>
      </c>
      <c r="E142" s="23"/>
      <c r="F142" s="12"/>
      <c r="G142" s="12"/>
      <c r="H142" s="12"/>
      <c r="I142" s="92"/>
      <c r="J142" s="91"/>
      <c r="K142" s="12"/>
      <c r="L142" s="96"/>
      <c r="M142" s="1"/>
      <c r="N142" s="1"/>
      <c r="O142" s="23"/>
    </row>
    <row r="143" spans="1:15">
      <c r="A143" s="181" t="s">
        <v>144</v>
      </c>
      <c r="B143" s="124"/>
      <c r="C143" s="124"/>
      <c r="D143" s="124"/>
      <c r="E143" s="124"/>
      <c r="F143" s="124"/>
      <c r="G143" s="124"/>
      <c r="H143" s="124"/>
      <c r="I143" s="124"/>
      <c r="J143" s="124"/>
      <c r="K143" s="124"/>
      <c r="L143" s="114"/>
      <c r="M143" s="7"/>
      <c r="N143" s="7"/>
      <c r="O143" s="23"/>
    </row>
    <row r="144" spans="1:15">
      <c r="A144" s="83"/>
      <c r="B144" s="84"/>
      <c r="C144" s="84"/>
      <c r="D144" s="84"/>
      <c r="E144" s="84"/>
      <c r="F144" s="84"/>
      <c r="G144" s="84"/>
      <c r="H144" s="84"/>
      <c r="I144" s="84"/>
      <c r="J144" s="84"/>
      <c r="K144" s="84"/>
      <c r="L144" s="85"/>
      <c r="M144" s="7"/>
      <c r="N144" s="7"/>
      <c r="O144" s="23"/>
    </row>
    <row r="145" spans="1:14">
      <c r="A145" s="8"/>
      <c r="B145" s="7"/>
      <c r="C145" s="7"/>
      <c r="D145" s="7"/>
      <c r="E145" s="7"/>
      <c r="F145" s="7"/>
      <c r="G145" s="7"/>
      <c r="H145" s="7"/>
      <c r="I145" s="7"/>
      <c r="J145" s="7"/>
      <c r="K145" s="7"/>
      <c r="L145" s="35"/>
      <c r="M145" s="7"/>
      <c r="N145" s="7"/>
    </row>
    <row r="146" spans="1:14">
      <c r="A146" s="8"/>
      <c r="B146" s="7"/>
      <c r="C146" s="7"/>
      <c r="D146" s="7"/>
      <c r="E146" s="7"/>
      <c r="F146" s="7"/>
      <c r="G146" s="7"/>
      <c r="H146" s="7"/>
      <c r="I146" s="7"/>
      <c r="J146" s="7"/>
      <c r="K146" s="7"/>
      <c r="L146" s="35"/>
      <c r="M146" s="7"/>
      <c r="N146" s="7"/>
    </row>
    <row r="147" spans="1:14">
      <c r="A147" s="8"/>
      <c r="B147" s="7"/>
      <c r="C147" s="7"/>
      <c r="D147" s="7"/>
      <c r="E147" s="7"/>
      <c r="F147" s="7"/>
      <c r="G147" s="23"/>
      <c r="H147" s="23"/>
      <c r="I147" s="70"/>
      <c r="J147" s="7"/>
      <c r="K147" s="7"/>
      <c r="L147" s="35"/>
      <c r="M147" s="7"/>
      <c r="N147" s="7"/>
    </row>
    <row r="148" spans="1:14">
      <c r="A148" s="8"/>
      <c r="B148" s="7"/>
      <c r="C148" s="7"/>
      <c r="D148" s="7"/>
      <c r="E148" s="7"/>
      <c r="F148" s="125" t="s">
        <v>145</v>
      </c>
      <c r="G148" s="124"/>
      <c r="H148" s="124"/>
      <c r="I148" s="124"/>
      <c r="J148" s="124"/>
      <c r="K148" s="124"/>
      <c r="L148" s="114"/>
      <c r="M148" s="1"/>
      <c r="N148" s="1"/>
    </row>
    <row r="149" spans="1:14">
      <c r="A149" s="8"/>
      <c r="B149" s="7"/>
      <c r="C149" s="7"/>
      <c r="D149" s="7"/>
      <c r="E149" s="7"/>
      <c r="F149" s="125" t="s">
        <v>146</v>
      </c>
      <c r="G149" s="124"/>
      <c r="H149" s="124"/>
      <c r="I149" s="124"/>
      <c r="J149" s="124"/>
      <c r="K149" s="124"/>
      <c r="L149" s="114"/>
      <c r="M149" s="1"/>
      <c r="N149" s="1"/>
    </row>
    <row r="150" spans="1:14">
      <c r="A150" s="147" t="s">
        <v>147</v>
      </c>
      <c r="B150" s="124"/>
      <c r="C150" s="124"/>
      <c r="D150" s="7"/>
      <c r="E150" s="7"/>
      <c r="F150" s="125" t="s">
        <v>148</v>
      </c>
      <c r="G150" s="124"/>
      <c r="H150" s="124"/>
      <c r="I150" s="124"/>
      <c r="J150" s="124"/>
      <c r="K150" s="124"/>
      <c r="L150" s="114"/>
      <c r="M150" s="1"/>
      <c r="N150" s="1"/>
    </row>
    <row r="151" spans="1:14">
      <c r="A151" s="147" t="s">
        <v>149</v>
      </c>
      <c r="B151" s="124"/>
      <c r="C151" s="124"/>
      <c r="D151" s="7"/>
      <c r="E151" s="7"/>
      <c r="F151" s="143" t="s">
        <v>150</v>
      </c>
      <c r="G151" s="124"/>
      <c r="H151" s="124"/>
      <c r="I151" s="124"/>
      <c r="J151" s="124"/>
      <c r="K151" s="124"/>
      <c r="L151" s="114"/>
      <c r="M151" s="75"/>
      <c r="N151" s="75"/>
    </row>
    <row r="152" spans="1:14">
      <c r="A152" s="72"/>
      <c r="B152" s="39"/>
      <c r="C152" s="39"/>
      <c r="D152" s="39"/>
      <c r="E152" s="39"/>
      <c r="F152" s="39"/>
      <c r="G152" s="39"/>
      <c r="H152" s="39"/>
      <c r="I152" s="39"/>
      <c r="J152" s="39"/>
      <c r="K152" s="39"/>
      <c r="L152" s="81"/>
      <c r="M152" s="7"/>
      <c r="N152" s="7"/>
    </row>
    <row r="153" spans="1:14">
      <c r="A153" s="82"/>
      <c r="B153" s="82"/>
      <c r="C153" s="82"/>
      <c r="D153" s="82"/>
      <c r="E153" s="82"/>
      <c r="F153" s="82"/>
      <c r="G153" s="82"/>
      <c r="H153" s="82"/>
      <c r="I153" s="82"/>
      <c r="J153" s="82"/>
      <c r="K153" s="82"/>
      <c r="L153" s="82"/>
      <c r="M153" s="82"/>
      <c r="N153" s="82"/>
    </row>
    <row r="154" spans="1:14">
      <c r="A154" s="82"/>
      <c r="B154" s="82"/>
      <c r="C154" s="82"/>
      <c r="D154" s="82"/>
      <c r="E154" s="82"/>
      <c r="F154" s="82"/>
      <c r="G154" s="82"/>
      <c r="H154" s="82"/>
      <c r="I154" s="82"/>
      <c r="J154" s="82"/>
      <c r="K154" s="82"/>
      <c r="L154" s="82"/>
      <c r="M154" s="82"/>
      <c r="N154" s="82"/>
    </row>
    <row r="155" spans="1:14">
      <c r="A155" s="82"/>
      <c r="B155" s="82"/>
      <c r="C155" s="82"/>
      <c r="D155" s="82"/>
      <c r="E155" s="82"/>
      <c r="F155" s="82"/>
      <c r="G155" s="82"/>
      <c r="H155" s="82"/>
      <c r="I155" s="82"/>
      <c r="J155" s="82"/>
      <c r="K155" s="82"/>
      <c r="L155" s="82"/>
      <c r="M155" s="82"/>
      <c r="N155" s="82"/>
    </row>
    <row r="156" spans="1:14">
      <c r="A156" s="82"/>
      <c r="B156" s="82"/>
      <c r="C156" s="82"/>
      <c r="D156" s="82"/>
      <c r="E156" s="82"/>
      <c r="F156" s="82"/>
      <c r="G156" s="82"/>
      <c r="H156" s="82"/>
      <c r="I156" s="82"/>
      <c r="J156" s="82"/>
      <c r="K156" s="82"/>
      <c r="L156" s="82"/>
      <c r="M156" s="82"/>
      <c r="N156" s="82"/>
    </row>
    <row r="157" spans="1:14">
      <c r="A157" s="82"/>
      <c r="B157" s="82"/>
      <c r="C157" s="82"/>
      <c r="D157" s="82"/>
      <c r="E157" s="82"/>
      <c r="F157" s="82"/>
      <c r="G157" s="82"/>
      <c r="H157" s="82"/>
      <c r="I157" s="82"/>
      <c r="J157" s="82"/>
      <c r="K157" s="82"/>
      <c r="L157" s="82"/>
      <c r="M157" s="82"/>
      <c r="N157" s="82"/>
    </row>
    <row r="158" spans="1:14">
      <c r="A158" s="82"/>
      <c r="B158" s="82"/>
      <c r="C158" s="82"/>
      <c r="D158" s="82"/>
      <c r="E158" s="82"/>
      <c r="F158" s="82"/>
      <c r="G158" s="82"/>
      <c r="H158" s="82"/>
      <c r="I158" s="82"/>
      <c r="J158" s="82"/>
      <c r="K158" s="82"/>
      <c r="L158" s="82"/>
      <c r="M158" s="82"/>
      <c r="N158" s="82"/>
    </row>
    <row r="159" spans="1:14">
      <c r="A159" s="82"/>
      <c r="B159" s="82"/>
      <c r="C159" s="82"/>
      <c r="D159" s="82"/>
      <c r="E159" s="82"/>
      <c r="F159" s="82"/>
      <c r="G159" s="82"/>
      <c r="H159" s="82"/>
      <c r="I159" s="82"/>
      <c r="J159" s="82"/>
      <c r="K159" s="82"/>
      <c r="L159" s="82"/>
      <c r="M159" s="82"/>
      <c r="N159" s="82"/>
    </row>
    <row r="160" spans="1:14">
      <c r="A160" s="82"/>
      <c r="B160" s="82"/>
      <c r="C160" s="82"/>
      <c r="D160" s="82"/>
      <c r="E160" s="82"/>
      <c r="F160" s="82"/>
      <c r="G160" s="82"/>
      <c r="H160" s="82"/>
      <c r="I160" s="82"/>
      <c r="J160" s="82"/>
      <c r="K160" s="82"/>
      <c r="L160" s="82"/>
      <c r="M160" s="82"/>
      <c r="N160" s="82"/>
    </row>
    <row r="161" spans="1:14">
      <c r="A161" s="82"/>
      <c r="B161" s="82"/>
      <c r="C161" s="82"/>
      <c r="D161" s="82"/>
      <c r="E161" s="82"/>
      <c r="F161" s="82"/>
      <c r="G161" s="82"/>
      <c r="H161" s="82"/>
      <c r="I161" s="82"/>
      <c r="J161" s="82"/>
      <c r="K161" s="82"/>
      <c r="L161" s="82"/>
      <c r="M161" s="82"/>
      <c r="N161" s="82"/>
    </row>
    <row r="162" spans="1:14">
      <c r="A162" s="82"/>
      <c r="B162" s="82"/>
      <c r="C162" s="82"/>
      <c r="D162" s="82"/>
      <c r="E162" s="82"/>
      <c r="F162" s="82"/>
      <c r="G162" s="82"/>
      <c r="H162" s="82"/>
      <c r="I162" s="82"/>
      <c r="J162" s="82"/>
      <c r="K162" s="82"/>
      <c r="L162" s="82"/>
      <c r="M162" s="82"/>
      <c r="N162" s="82"/>
    </row>
    <row r="163" spans="1:14">
      <c r="A163" s="82"/>
      <c r="B163" s="82"/>
      <c r="C163" s="82"/>
      <c r="D163" s="82"/>
      <c r="E163" s="82"/>
      <c r="F163" s="82"/>
      <c r="G163" s="82"/>
      <c r="H163" s="82"/>
      <c r="I163" s="82"/>
      <c r="J163" s="82"/>
      <c r="K163" s="82"/>
      <c r="L163" s="82"/>
      <c r="M163" s="82"/>
      <c r="N163" s="82"/>
    </row>
    <row r="164" spans="1:14">
      <c r="A164" s="82"/>
      <c r="B164" s="82"/>
      <c r="C164" s="82"/>
      <c r="D164" s="82"/>
      <c r="E164" s="82"/>
      <c r="F164" s="82"/>
      <c r="G164" s="82"/>
      <c r="H164" s="82"/>
      <c r="I164" s="82"/>
      <c r="J164" s="82"/>
      <c r="K164" s="82"/>
      <c r="L164" s="82"/>
      <c r="M164" s="82"/>
      <c r="N164" s="82"/>
    </row>
    <row r="165" spans="1:14">
      <c r="A165" s="82"/>
      <c r="B165" s="82"/>
      <c r="C165" s="82"/>
      <c r="D165" s="82"/>
      <c r="E165" s="82"/>
      <c r="F165" s="82"/>
      <c r="G165" s="82"/>
      <c r="H165" s="82"/>
      <c r="I165" s="82"/>
      <c r="J165" s="82"/>
      <c r="K165" s="82"/>
      <c r="L165" s="82"/>
      <c r="M165" s="82"/>
      <c r="N165" s="82"/>
    </row>
    <row r="166" spans="1:14">
      <c r="A166" s="82"/>
      <c r="B166" s="82"/>
      <c r="C166" s="82"/>
      <c r="D166" s="82"/>
      <c r="E166" s="82"/>
      <c r="F166" s="82"/>
      <c r="G166" s="82"/>
      <c r="H166" s="82"/>
      <c r="I166" s="82"/>
      <c r="J166" s="82"/>
      <c r="K166" s="82"/>
      <c r="L166" s="82"/>
      <c r="M166" s="82"/>
      <c r="N166" s="82"/>
    </row>
    <row r="167" spans="1:14">
      <c r="A167" s="82"/>
      <c r="B167" s="82"/>
      <c r="C167" s="82"/>
      <c r="D167" s="82"/>
      <c r="E167" s="82"/>
      <c r="F167" s="82"/>
      <c r="G167" s="82"/>
      <c r="H167" s="82"/>
      <c r="I167" s="82"/>
      <c r="J167" s="82"/>
      <c r="K167" s="82"/>
      <c r="L167" s="82"/>
      <c r="M167" s="82"/>
      <c r="N167" s="82"/>
    </row>
    <row r="168" spans="1:14">
      <c r="A168" s="82"/>
      <c r="B168" s="82"/>
      <c r="C168" s="82"/>
      <c r="D168" s="82"/>
      <c r="E168" s="82"/>
      <c r="F168" s="82"/>
      <c r="G168" s="82"/>
      <c r="H168" s="82"/>
      <c r="I168" s="82"/>
      <c r="J168" s="82"/>
      <c r="K168" s="82"/>
      <c r="L168" s="82"/>
      <c r="M168" s="82"/>
      <c r="N168" s="82"/>
    </row>
  </sheetData>
  <mergeCells count="240">
    <mergeCell ref="A1:L1"/>
    <mergeCell ref="K112:L112"/>
    <mergeCell ref="B58:D58"/>
    <mergeCell ref="E37:F37"/>
    <mergeCell ref="B52:D52"/>
    <mergeCell ref="G46:H46"/>
    <mergeCell ref="G40:H40"/>
    <mergeCell ref="G111:H111"/>
    <mergeCell ref="I40:J40"/>
    <mergeCell ref="A143:L143"/>
    <mergeCell ref="I48:J48"/>
    <mergeCell ref="G55:H55"/>
    <mergeCell ref="G29:H29"/>
    <mergeCell ref="A20:B20"/>
    <mergeCell ref="A142:C142"/>
    <mergeCell ref="I29:J29"/>
    <mergeCell ref="I38:J38"/>
    <mergeCell ref="G47:H47"/>
    <mergeCell ref="K125:L125"/>
    <mergeCell ref="K127:L127"/>
    <mergeCell ref="A140:L140"/>
    <mergeCell ref="I115:J115"/>
    <mergeCell ref="B33:D33"/>
    <mergeCell ref="J15:L16"/>
    <mergeCell ref="E30:F30"/>
    <mergeCell ref="C19:E19"/>
    <mergeCell ref="G30:H30"/>
    <mergeCell ref="A68:L68"/>
    <mergeCell ref="I55:J55"/>
    <mergeCell ref="B32:D32"/>
    <mergeCell ref="H23:J23"/>
    <mergeCell ref="G124:H124"/>
    <mergeCell ref="B26:D26"/>
    <mergeCell ref="E45:F45"/>
    <mergeCell ref="G45:H45"/>
    <mergeCell ref="I39:J39"/>
    <mergeCell ref="C124:E124"/>
    <mergeCell ref="A64:E64"/>
    <mergeCell ref="G13:L13"/>
    <mergeCell ref="G27:H27"/>
    <mergeCell ref="I49:J49"/>
    <mergeCell ref="G120:H120"/>
    <mergeCell ref="I27:J27"/>
    <mergeCell ref="I120:J120"/>
    <mergeCell ref="A72:G72"/>
    <mergeCell ref="A74:L74"/>
    <mergeCell ref="K114:L114"/>
    <mergeCell ref="B29:D29"/>
    <mergeCell ref="B38:D38"/>
    <mergeCell ref="I113:J113"/>
    <mergeCell ref="K20:L20"/>
    <mergeCell ref="A76:L76"/>
    <mergeCell ref="B40:D40"/>
    <mergeCell ref="G53:H53"/>
    <mergeCell ref="G28:H28"/>
    <mergeCell ref="I53:J53"/>
    <mergeCell ref="I28:J28"/>
    <mergeCell ref="E60:F60"/>
    <mergeCell ref="K22:L22"/>
    <mergeCell ref="B55:D55"/>
    <mergeCell ref="A2:L2"/>
    <mergeCell ref="A151:C151"/>
    <mergeCell ref="K126:L126"/>
    <mergeCell ref="I47:J47"/>
    <mergeCell ref="E29:F29"/>
    <mergeCell ref="G116:H116"/>
    <mergeCell ref="B49:D49"/>
    <mergeCell ref="A8:F8"/>
    <mergeCell ref="G37:H37"/>
    <mergeCell ref="A150:C150"/>
    <mergeCell ref="I37:J37"/>
    <mergeCell ref="K46:L46"/>
    <mergeCell ref="K111:L111"/>
    <mergeCell ref="B51:D51"/>
    <mergeCell ref="A21:B21"/>
    <mergeCell ref="A10:F10"/>
    <mergeCell ref="H18:J18"/>
    <mergeCell ref="E46:F46"/>
    <mergeCell ref="B41:D41"/>
    <mergeCell ref="G15:H15"/>
    <mergeCell ref="B35:D35"/>
    <mergeCell ref="B50:D50"/>
    <mergeCell ref="G60:L60"/>
    <mergeCell ref="G9:L9"/>
    <mergeCell ref="F149:L149"/>
    <mergeCell ref="G115:H115"/>
    <mergeCell ref="I124:J124"/>
    <mergeCell ref="A109:D109"/>
    <mergeCell ref="I45:J45"/>
    <mergeCell ref="I116:J116"/>
    <mergeCell ref="K45:L45"/>
    <mergeCell ref="F151:L151"/>
    <mergeCell ref="E39:F39"/>
    <mergeCell ref="G126:H126"/>
    <mergeCell ref="G39:H39"/>
    <mergeCell ref="I126:J126"/>
    <mergeCell ref="A65:L66"/>
    <mergeCell ref="G51:H51"/>
    <mergeCell ref="I51:J51"/>
    <mergeCell ref="G54:H54"/>
    <mergeCell ref="E41:F41"/>
    <mergeCell ref="G41:H41"/>
    <mergeCell ref="A61:L61"/>
    <mergeCell ref="G50:H50"/>
    <mergeCell ref="K128:L128"/>
    <mergeCell ref="I50:J50"/>
    <mergeCell ref="A70:L70"/>
    <mergeCell ref="A67:B67"/>
    <mergeCell ref="K120:L120"/>
    <mergeCell ref="E26:F26"/>
    <mergeCell ref="G12:L12"/>
    <mergeCell ref="B47:D47"/>
    <mergeCell ref="G26:H26"/>
    <mergeCell ref="H20:J20"/>
    <mergeCell ref="B141:D141"/>
    <mergeCell ref="A24:L24"/>
    <mergeCell ref="B59:D59"/>
    <mergeCell ref="J14:L14"/>
    <mergeCell ref="A73:L73"/>
    <mergeCell ref="B31:D31"/>
    <mergeCell ref="G16:H16"/>
    <mergeCell ref="K19:L19"/>
    <mergeCell ref="I59:J59"/>
    <mergeCell ref="K124:L124"/>
    <mergeCell ref="B39:D39"/>
    <mergeCell ref="B48:D48"/>
    <mergeCell ref="D16:F16"/>
    <mergeCell ref="F21:G21"/>
    <mergeCell ref="F22:G22"/>
    <mergeCell ref="K23:L23"/>
    <mergeCell ref="A23:B23"/>
    <mergeCell ref="B25:D25"/>
    <mergeCell ref="A3:L3"/>
    <mergeCell ref="G48:H48"/>
    <mergeCell ref="K21:L21"/>
    <mergeCell ref="A93:G93"/>
    <mergeCell ref="I57:J57"/>
    <mergeCell ref="E38:F38"/>
    <mergeCell ref="A78:E78"/>
    <mergeCell ref="G14:I14"/>
    <mergeCell ref="I54:J54"/>
    <mergeCell ref="G38:H38"/>
    <mergeCell ref="A5:L5"/>
    <mergeCell ref="I41:J41"/>
    <mergeCell ref="F20:G20"/>
    <mergeCell ref="F18:G18"/>
    <mergeCell ref="A92:G92"/>
    <mergeCell ref="E40:F40"/>
    <mergeCell ref="I56:J56"/>
    <mergeCell ref="A4:L4"/>
    <mergeCell ref="G49:H49"/>
    <mergeCell ref="A81:L81"/>
    <mergeCell ref="B36:D36"/>
    <mergeCell ref="A13:C13"/>
    <mergeCell ref="A43:L43"/>
    <mergeCell ref="B45:D45"/>
    <mergeCell ref="F150:L150"/>
    <mergeCell ref="I30:J30"/>
    <mergeCell ref="G59:H59"/>
    <mergeCell ref="G141:I141"/>
    <mergeCell ref="C112:E112"/>
    <mergeCell ref="G10:L10"/>
    <mergeCell ref="I46:J46"/>
    <mergeCell ref="F19:G19"/>
    <mergeCell ref="C22:E22"/>
    <mergeCell ref="A75:L75"/>
    <mergeCell ref="J88:K88"/>
    <mergeCell ref="A80:L80"/>
    <mergeCell ref="C114:E114"/>
    <mergeCell ref="A12:C12"/>
    <mergeCell ref="G125:H125"/>
    <mergeCell ref="I125:J125"/>
    <mergeCell ref="I112:J112"/>
    <mergeCell ref="G112:H112"/>
    <mergeCell ref="G127:H127"/>
    <mergeCell ref="I127:J127"/>
    <mergeCell ref="C125:E125"/>
    <mergeCell ref="I114:J114"/>
    <mergeCell ref="I111:J111"/>
    <mergeCell ref="J94:K94"/>
    <mergeCell ref="A19:B19"/>
    <mergeCell ref="K116:L116"/>
    <mergeCell ref="B56:D56"/>
    <mergeCell ref="G8:L8"/>
    <mergeCell ref="C113:E113"/>
    <mergeCell ref="C20:E20"/>
    <mergeCell ref="A69:L69"/>
    <mergeCell ref="A7:F7"/>
    <mergeCell ref="H21:J21"/>
    <mergeCell ref="A9:F9"/>
    <mergeCell ref="K27:L27"/>
    <mergeCell ref="A11:F11"/>
    <mergeCell ref="G7:L7"/>
    <mergeCell ref="G11:L11"/>
    <mergeCell ref="E25:L25"/>
    <mergeCell ref="K18:L18"/>
    <mergeCell ref="G56:H56"/>
    <mergeCell ref="D13:F13"/>
    <mergeCell ref="G52:H52"/>
    <mergeCell ref="A18:B18"/>
    <mergeCell ref="D15:F15"/>
    <mergeCell ref="H19:J19"/>
    <mergeCell ref="C23:E23"/>
    <mergeCell ref="F148:L148"/>
    <mergeCell ref="G57:H57"/>
    <mergeCell ref="D12:F12"/>
    <mergeCell ref="B30:D30"/>
    <mergeCell ref="I58:J58"/>
    <mergeCell ref="D14:F14"/>
    <mergeCell ref="A63:C63"/>
    <mergeCell ref="K115:L115"/>
    <mergeCell ref="F23:G23"/>
    <mergeCell ref="E27:F27"/>
    <mergeCell ref="G58:H58"/>
    <mergeCell ref="C18:E18"/>
    <mergeCell ref="G114:H114"/>
    <mergeCell ref="B62:D62"/>
    <mergeCell ref="I52:J52"/>
    <mergeCell ref="I123:J123"/>
    <mergeCell ref="A77:L77"/>
    <mergeCell ref="B54:D54"/>
    <mergeCell ref="A22:B22"/>
    <mergeCell ref="I110:J110"/>
    <mergeCell ref="G113:H113"/>
    <mergeCell ref="C126:E126"/>
    <mergeCell ref="B60:D60"/>
    <mergeCell ref="B57:D57"/>
    <mergeCell ref="G62:I62"/>
    <mergeCell ref="K113:L113"/>
    <mergeCell ref="B53:D53"/>
    <mergeCell ref="B44:D44"/>
    <mergeCell ref="C21:E21"/>
    <mergeCell ref="I26:J26"/>
    <mergeCell ref="K26:L26"/>
    <mergeCell ref="B34:D34"/>
    <mergeCell ref="B28:D28"/>
    <mergeCell ref="B37:D37"/>
    <mergeCell ref="E44:L44"/>
    <mergeCell ref="A71:L71"/>
    <mergeCell ref="H22:J2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"/>
  <sheetViews>
    <sheetView workbookViewId="0"/>
  </sheetViews>
  <sheetFormatPr defaultRowHeight="15"/>
  <sheetData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7"/>
  <sheetViews>
    <sheetView workbookViewId="0">
      <selection activeCell="B7" sqref="B7"/>
    </sheetView>
  </sheetViews>
  <sheetFormatPr defaultRowHeight="15"/>
  <sheetData>
    <row r="1" spans="1:2">
      <c r="A1" t="s">
        <v>151</v>
      </c>
      <c r="B1" t="s">
        <v>152</v>
      </c>
    </row>
    <row r="2" spans="1:2">
      <c r="A2" t="s">
        <v>153</v>
      </c>
      <c r="B2">
        <v>500000</v>
      </c>
    </row>
    <row r="3" spans="1:2">
      <c r="A3" t="s">
        <v>154</v>
      </c>
      <c r="B3">
        <v>0</v>
      </c>
    </row>
    <row r="4" spans="1:2">
      <c r="A4" t="s">
        <v>155</v>
      </c>
      <c r="B4">
        <v>21600</v>
      </c>
    </row>
    <row r="5" spans="1:2">
      <c r="A5" t="s">
        <v>156</v>
      </c>
      <c r="B5">
        <v>0</v>
      </c>
    </row>
    <row r="6" spans="1:2">
      <c r="A6" t="s">
        <v>157</v>
      </c>
      <c r="B6">
        <v>0</v>
      </c>
    </row>
    <row r="7" spans="1:2">
      <c r="A7" t="s">
        <v>158</v>
      </c>
      <c r="B7">
        <v>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Sheet1</vt:lpstr>
      <vt:lpstr>__CALC__</vt:lpstr>
      <vt:lpstr>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Pratik Kadam</dc:creator>
  <cp:lastModifiedBy>Pratik Kadam</cp:lastModifiedBy>
  <dcterms:created xsi:type="dcterms:W3CDTF">2025-12-19T06:35:31Z</dcterms:created>
  <dcterms:modified xsi:type="dcterms:W3CDTF">2025-12-19T07:30:59Z</dcterms:modified>
</cp:coreProperties>
</file>