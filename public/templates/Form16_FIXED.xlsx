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D21F1B2-976E-4BF2-90E1-6DDAF633441A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Sheet1" sheetId="1" r:id="rId1"/>
    <sheet name="__CALC__" sheetId="2" r:id="rId2"/>
    <sheet name="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I100" i="1"/>
  <c r="I135" i="1"/>
  <c r="I128" i="1"/>
  <c r="I118" i="1"/>
  <c r="G112" i="1"/>
  <c r="K112" i="1" s="1"/>
  <c r="L117" i="1" s="1"/>
  <c r="I95" i="1"/>
  <c r="I94" i="1"/>
  <c r="I90" i="1"/>
  <c r="I97" i="1" s="1"/>
  <c r="I101" i="1" s="1"/>
  <c r="I125" i="1" s="1"/>
  <c r="I83" i="1"/>
  <c r="J88" i="1" s="1"/>
  <c r="J94" i="1" s="1"/>
  <c r="L102" i="1" l="1"/>
  <c r="L107" i="1" s="1"/>
  <c r="L129" i="1" s="1"/>
  <c r="I131" i="1"/>
  <c r="I132" i="1" s="1"/>
  <c r="I136" i="1" s="1"/>
  <c r="I112" i="1"/>
</calcChain>
</file>

<file path=xl/sharedStrings.xml><?xml version="1.0" encoding="utf-8"?>
<sst xmlns="http://schemas.openxmlformats.org/spreadsheetml/2006/main" count="196" uniqueCount="160">
  <si>
    <t>FORM NO.16</t>
  </si>
  <si>
    <t>[See rule 31 (1) (a)]</t>
  </si>
  <si>
    <t>Part A</t>
  </si>
  <si>
    <t>Certificate under section 203 of the Income Tax Act, 1961 for tax deducted</t>
  </si>
  <si>
    <t>at source from income chargeable under the head  “ Salaries “</t>
  </si>
  <si>
    <t>Name and address of the employer</t>
  </si>
  <si>
    <t>Name and Designation of the employee</t>
  </si>
  <si>
    <t>I Smart Facitech Private Ltd</t>
  </si>
  <si>
    <t>317, 3rd Floor,A/2 , Neelgiri Bldg,</t>
  </si>
  <si>
    <t xml:space="preserve">Wadala Truck Terminal Near Wadala RTO, </t>
  </si>
  <si>
    <t>Mumbai -400037</t>
  </si>
  <si>
    <t>PAN of the Deducter</t>
  </si>
  <si>
    <t>TAN of the Deducter</t>
  </si>
  <si>
    <t>PAN of the Employee</t>
  </si>
  <si>
    <t>AAKCC4528J</t>
  </si>
  <si>
    <t>MUMC28808D</t>
  </si>
  <si>
    <t>{{EMP_PAN}}</t>
  </si>
  <si>
    <t>TDS Circle where annual</t>
  </si>
  <si>
    <t>PERIOD</t>
  </si>
  <si>
    <t>Assessment Year</t>
  </si>
  <si>
    <t>return / statement under</t>
  </si>
  <si>
    <t>FROM</t>
  </si>
  <si>
    <t>TO</t>
  </si>
  <si>
    <t>2026-27</t>
  </si>
  <si>
    <t>section 206 is to be filed</t>
  </si>
  <si>
    <t>Smmary of amount Paid/credited and tax Deducted at source thereon in respect of the Employee</t>
  </si>
  <si>
    <t>Quarter(s)</t>
  </si>
  <si>
    <t>Receipt Numbersof Original Quaterly Statements of TDS Under Sub-Section (3) of Section 200</t>
  </si>
  <si>
    <t>Amount Paid cridited</t>
  </si>
  <si>
    <t xml:space="preserve">      Amount of Tax Deducted     (Rs)</t>
  </si>
  <si>
    <t>Amount of Tax Deposited / Remitted                               (Rs)</t>
  </si>
  <si>
    <t>Quarter 1</t>
  </si>
  <si>
    <t>Quarter 2</t>
  </si>
  <si>
    <t>Quarter 3</t>
  </si>
  <si>
    <t>Quarter 4</t>
  </si>
  <si>
    <t>Total</t>
  </si>
  <si>
    <t>I.DETAILS TAX DEDUCTED AND DEPOSITED INTO CENTRAL GOVERNMENT ACCOUNT THROUGH BOOK ADJUSTMENT</t>
  </si>
  <si>
    <t>S.No</t>
  </si>
  <si>
    <t>Tax Deposited In Respect</t>
  </si>
  <si>
    <t>Book Identification Number (BIN)</t>
  </si>
  <si>
    <t>of the deducter</t>
  </si>
  <si>
    <t>Receipt Numbers of</t>
  </si>
  <si>
    <t>DDO Serial No in</t>
  </si>
  <si>
    <t>Date Of Transfer</t>
  </si>
  <si>
    <t>Status of Maching</t>
  </si>
  <si>
    <t>(Rs)</t>
  </si>
  <si>
    <t>Form No.24G</t>
  </si>
  <si>
    <t>with Form.No 24G</t>
  </si>
  <si>
    <t>(dd/mm/yyyy)</t>
  </si>
  <si>
    <t>Total (Rs)</t>
  </si>
  <si>
    <t>II.DETAILS TAX DEDUCTED AND DEPOSITED INTO CENTRAL GOVERNMENT ACCOUNT THROUGH BOOK CHALLANA</t>
  </si>
  <si>
    <t>Book Identification Number (CIN)</t>
  </si>
  <si>
    <t xml:space="preserve">BRS Code of  the </t>
  </si>
  <si>
    <t>Date on Which</t>
  </si>
  <si>
    <t>Challana Serial</t>
  </si>
  <si>
    <t>Bank Branch</t>
  </si>
  <si>
    <t>Tax Deposited</t>
  </si>
  <si>
    <t>Number</t>
  </si>
  <si>
    <t>Verification</t>
  </si>
  <si>
    <t>I,</t>
  </si>
  <si>
    <t>Sheshmani Yadav</t>
  </si>
  <si>
    <t xml:space="preserve">Son/Doughter of </t>
  </si>
  <si>
    <t>Jokhanram</t>
  </si>
  <si>
    <t xml:space="preserve">  Working In the Capacity Of</t>
  </si>
  <si>
    <t xml:space="preserve">Manager - Accounts </t>
  </si>
  <si>
    <t>do hereby certify that a sum  of Rs.</t>
  </si>
  <si>
    <t>(in words)</t>
  </si>
  <si>
    <t>has beeen deducted at source and paid to the credit of the Central Government.</t>
  </si>
  <si>
    <t xml:space="preserve"> I further certify that the information given  above is true and correct based on the book of accounts, documents and TDS Statements, TDS Deposited and other available records.</t>
  </si>
  <si>
    <t>Notes :</t>
  </si>
  <si>
    <t>1.  Government deductors to fill information in item I if tax is paid without production of an income-tax challan and in item II if tax .</t>
  </si>
  <si>
    <t xml:space="preserve">        is paid accompanied by an income-tax challan</t>
  </si>
  <si>
    <t>2.  Non-Government deductors to fill information in item II.</t>
  </si>
  <si>
    <t xml:space="preserve">3.  The deductor shall furnish the address of  the Commissioner of  Income-tax (TDS) having jurisdiction as regards TDS </t>
  </si>
  <si>
    <t xml:space="preserve">     statements of the assessee.</t>
  </si>
  <si>
    <t>4.  If an assessee is employed under one employer only during the year, certificate in Form No. 16 issued for the quarter ending on</t>
  </si>
  <si>
    <t xml:space="preserve">      31st March of the financial year shall contain the details of tax deducted and deposited for all the quarters of the financial year.</t>
  </si>
  <si>
    <t xml:space="preserve">5.  If  an  assessee  is  employed  under  more  than  one  employer  during  the  year,  each  of  the employers shall issue Part </t>
  </si>
  <si>
    <t xml:space="preserve">      A of the certificate in Form No. 16 pertaining to the period for which such assessee was employed with each of the employers.</t>
  </si>
  <si>
    <t>I83 = Gross Salary</t>
  </si>
  <si>
    <t xml:space="preserve">    Part B (Annexure) of the certificate in Form No.16 may be issued by each of the employers or the last employer at the</t>
  </si>
  <si>
    <t xml:space="preserve">    option of the assessee.</t>
  </si>
  <si>
    <t>6.  In items I and II, in column for tax deposited in respect of deductee, furnish total amount of TDS and education cess."</t>
  </si>
  <si>
    <t>Notes : Part B</t>
  </si>
  <si>
    <t>DETAILS OF SALARY PAID AND ANY OTHER INCOME AND TAX DEDUCTED</t>
  </si>
  <si>
    <t>1. Gross Salary *</t>
  </si>
  <si>
    <t>( a ) Salary as per provisions contained in section 17 (1)</t>
  </si>
  <si>
    <t>( b ) Value of perquisites under section 17 (2)</t>
  </si>
  <si>
    <t xml:space="preserve">        (as per Form No. 12 BA, wherever applicable)</t>
  </si>
  <si>
    <t>( c ) Profits in lieu of Salary under section 17 (3)</t>
  </si>
  <si>
    <t>( d ) Total</t>
  </si>
  <si>
    <t>( e ) Reported total amount of salary received from other employers</t>
  </si>
  <si>
    <t>2. Less : Allowance to the extent exempt under section 10</t>
  </si>
  <si>
    <t>a)</t>
  </si>
  <si>
    <t>b)</t>
  </si>
  <si>
    <t>3. Balance (1-2)</t>
  </si>
  <si>
    <t xml:space="preserve">4. Deductions :          </t>
  </si>
  <si>
    <t>(a) Standard deduction</t>
  </si>
  <si>
    <t>Rs.</t>
  </si>
  <si>
    <t>(b) Entertainment allowance</t>
  </si>
  <si>
    <t>(c) Tax on Employment</t>
  </si>
  <si>
    <t>5. Aggregate of 4 (a to c)</t>
  </si>
  <si>
    <t>6. Income chargeable under the Head ‘Salaries’(3-5)</t>
  </si>
  <si>
    <t>7. Add. : Any other income reported by the employee</t>
  </si>
  <si>
    <t>Less:-  Loss From House Properties</t>
  </si>
  <si>
    <t>8. Gross total income  (6+7)</t>
  </si>
  <si>
    <t xml:space="preserve">9. Deductions Under Chapter VIA    </t>
  </si>
  <si>
    <t>A.</t>
  </si>
  <si>
    <t>Sections 80C,80CC and 80CCD</t>
  </si>
  <si>
    <t>Gross Amount</t>
  </si>
  <si>
    <t>Qualifying Amt.</t>
  </si>
  <si>
    <t>Deductible Amt.</t>
  </si>
  <si>
    <t>Deductible Amt</t>
  </si>
  <si>
    <t>(a)</t>
  </si>
  <si>
    <t>Section 80C</t>
  </si>
  <si>
    <t>(i)</t>
  </si>
  <si>
    <t>Statutory Provident Fund</t>
  </si>
  <si>
    <t>G112 = PF ANNUAL</t>
  </si>
  <si>
    <t>(ii)</t>
  </si>
  <si>
    <t>(iii)</t>
  </si>
  <si>
    <t>(b)</t>
  </si>
  <si>
    <t>Section 80CCC</t>
  </si>
  <si>
    <t>(c)</t>
  </si>
  <si>
    <t>Section 80CCD</t>
  </si>
  <si>
    <t xml:space="preserve">Aggregate amount deductible under the three sections </t>
  </si>
  <si>
    <t>i.e.80C, 80CCC and 80CCD</t>
  </si>
  <si>
    <t>(d)</t>
  </si>
  <si>
    <t>Section 80CCD (1B)</t>
  </si>
  <si>
    <t>B.</t>
  </si>
  <si>
    <t>Other Sections ( e.g. 80E, 80G, 80TTA etc) Under Chapter VIA</t>
  </si>
  <si>
    <t>10. Aggregate of deductible amount under chapter VI-A</t>
  </si>
  <si>
    <t>11. Total Income (8-10 )</t>
  </si>
  <si>
    <t xml:space="preserve">12. Tax on total Income </t>
  </si>
  <si>
    <t>13. Rebate U/S 87a</t>
  </si>
  <si>
    <t>14. Tax Payable on total income (12-13)</t>
  </si>
  <si>
    <t>15.Education &amp; Health Cess 4%</t>
  </si>
  <si>
    <t>16. Tax payable (14+15)</t>
  </si>
  <si>
    <t>17. Relife Under Section 89 (attach details)</t>
  </si>
  <si>
    <t>18. Tax payable (16-17)</t>
  </si>
  <si>
    <t>19.Tax Deducted at source U/S 192</t>
  </si>
  <si>
    <t>20. Tax payable / refundable (17-18)</t>
  </si>
  <si>
    <t xml:space="preserve">do hereby certify that the information given  above is true  correct based on the </t>
  </si>
  <si>
    <t>book of accounts, documents and TDS Statements, TDS Deposited and other available records.</t>
  </si>
  <si>
    <t xml:space="preserve">                                    Signature &amp; Seal of the person responsible</t>
  </si>
  <si>
    <t xml:space="preserve">                                     for deduction of tax</t>
  </si>
  <si>
    <t>Place: Mumbai</t>
  </si>
  <si>
    <t xml:space="preserve">                                          Full Name    : Sheshmani J Yadav</t>
  </si>
  <si>
    <t>Date: 31/10/2025</t>
  </si>
  <si>
    <t>Designation    : Manager - Accounts</t>
  </si>
  <si>
    <t>Field</t>
  </si>
  <si>
    <t>Value</t>
  </si>
  <si>
    <t>Gross Salary</t>
  </si>
  <si>
    <t>Professional Tax</t>
  </si>
  <si>
    <t>PF Annual</t>
  </si>
  <si>
    <t>Other Income</t>
  </si>
  <si>
    <t>Total TDS</t>
  </si>
  <si>
    <t>Tax Calculated</t>
  </si>
  <si>
    <t>G99= PT Annual</t>
  </si>
  <si>
    <t>EMP_NAME</t>
  </si>
  <si>
    <t>EMP_DESIGNATION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</si>
</sst>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_);_(* \(#,##0\);_(* &quot;-&quot;??_);_(@_)"/>
    <numFmt numFmtId="165" formatCode="[$-409]d\-mmm\-yy;@"/>
    <numFmt numFmtId="166" formatCode="_-* #,##0.00_-;\-* #,##0.00_-;_-* &quot;-&quot;??_-;_-@_-"/>
    <numFmt numFmtId="167" formatCode="#,##0;[Red]\(#,##0\)"/>
    <numFmt numFmtId="168" formatCode="0.00_)"/>
    <numFmt numFmtId="169" formatCode="#,##0.00;[Red]\(#,##0.00\)"/>
    <numFmt numFmtId="170" formatCode="#,##0.0_);[Red]\(#,##0.0\)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rgb="FF9C5700"/>
      <name val="Aptos Narrow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7"/>
      <name val="Arial"/>
      <family val="2"/>
    </font>
    <font>
      <b/>
      <i/>
      <sz val="16"/>
      <name val="Helv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Time Roman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36">
    <xf numFmtId="0" fontId="0" fillId="0" borderId="0"/>
    <xf numFmtId="0" fontId="4" fillId="0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166" fontId="4" fillId="0" borderId="0"/>
    <xf numFmtId="43" fontId="15" fillId="0" borderId="0"/>
    <xf numFmtId="43" fontId="4" fillId="0" borderId="0"/>
    <xf numFmtId="38" fontId="6" fillId="10" borderId="2">
      <protection locked="0"/>
    </xf>
    <xf numFmtId="2" fontId="7" fillId="11" borderId="0">
      <alignment horizontal="left"/>
      <protection hidden="1"/>
    </xf>
    <xf numFmtId="167" fontId="8" fillId="0" borderId="0"/>
    <xf numFmtId="0" fontId="3" fillId="2" borderId="0"/>
    <xf numFmtId="168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1"/>
    <xf numFmtId="0" fontId="10" fillId="12" borderId="0">
      <alignment horizontal="right"/>
    </xf>
    <xf numFmtId="0" fontId="11" fillId="0" borderId="3">
      <alignment horizontal="center"/>
    </xf>
    <xf numFmtId="169" fontId="12" fillId="13" borderId="0"/>
    <xf numFmtId="0" fontId="2" fillId="0" borderId="0"/>
    <xf numFmtId="170" fontId="13" fillId="14" borderId="2">
      <alignment horizontal="right"/>
    </xf>
  </cellStyleXfs>
  <cellXfs count="184">
    <xf numFmtId="0" fontId="0" fillId="0" borderId="0" xfId="0"/>
    <xf numFmtId="164" fontId="15" fillId="15" borderId="0" xfId="10" applyNumberFormat="1" applyFont="1" applyFill="1" applyAlignment="1" applyProtection="1">
      <alignment horizontal="left"/>
      <protection locked="0"/>
    </xf>
    <xf numFmtId="0" fontId="15" fillId="15" borderId="13" xfId="1" applyFont="1" applyFill="1" applyBorder="1" applyAlignment="1" applyProtection="1">
      <alignment horizontal="center"/>
      <protection locked="0"/>
    </xf>
    <xf numFmtId="0" fontId="15" fillId="15" borderId="12" xfId="1" applyFont="1" applyFill="1" applyBorder="1" applyAlignment="1" applyProtection="1">
      <alignment horizontal="center"/>
      <protection locked="0"/>
    </xf>
    <xf numFmtId="164" fontId="15" fillId="15" borderId="13" xfId="10" applyNumberFormat="1" applyFont="1" applyFill="1" applyBorder="1" applyAlignment="1" applyProtection="1">
      <alignment horizontal="center"/>
      <protection locked="0"/>
    </xf>
    <xf numFmtId="164" fontId="15" fillId="15" borderId="19" xfId="10" applyNumberFormat="1" applyFont="1" applyFill="1" applyBorder="1" applyAlignment="1" applyProtection="1">
      <alignment horizontal="center"/>
      <protection locked="0"/>
    </xf>
    <xf numFmtId="164" fontId="13" fillId="15" borderId="9" xfId="10" applyNumberFormat="1" applyFont="1" applyFill="1" applyBorder="1" applyProtection="1">
      <protection locked="0"/>
    </xf>
    <xf numFmtId="164" fontId="15" fillId="15" borderId="0" xfId="10" applyNumberFormat="1" applyFont="1" applyFill="1" applyProtection="1">
      <protection locked="0"/>
    </xf>
    <xf numFmtId="164" fontId="15" fillId="15" borderId="3" xfId="10" applyNumberFormat="1" applyFont="1" applyFill="1" applyBorder="1" applyProtection="1">
      <protection locked="0"/>
    </xf>
    <xf numFmtId="164" fontId="15" fillId="15" borderId="17" xfId="10" applyNumberFormat="1" applyFont="1" applyFill="1" applyBorder="1" applyAlignment="1" applyProtection="1">
      <alignment horizontal="center"/>
      <protection locked="0"/>
    </xf>
    <xf numFmtId="164" fontId="15" fillId="15" borderId="3" xfId="10" applyNumberFormat="1" applyFont="1" applyFill="1" applyBorder="1" applyAlignment="1" applyProtection="1">
      <alignment horizontal="center"/>
      <protection locked="0"/>
    </xf>
    <xf numFmtId="164" fontId="15" fillId="15" borderId="0" xfId="10" applyNumberFormat="1" applyFont="1" applyFill="1" applyAlignment="1" applyProtection="1">
      <alignment horizontal="left" vertical="center" wrapText="1"/>
      <protection locked="0"/>
    </xf>
    <xf numFmtId="0" fontId="4" fillId="0" borderId="0" xfId="1"/>
    <xf numFmtId="164" fontId="15" fillId="15" borderId="6" xfId="10" applyNumberFormat="1" applyFont="1" applyFill="1" applyBorder="1" applyAlignment="1" applyProtection="1">
      <alignment horizontal="center"/>
      <protection locked="0"/>
    </xf>
    <xf numFmtId="164" fontId="15" fillId="15" borderId="6" xfId="10" applyNumberFormat="1" applyFont="1" applyFill="1" applyBorder="1" applyAlignment="1">
      <alignment horizontal="center"/>
    </xf>
    <xf numFmtId="164" fontId="15" fillId="15" borderId="6" xfId="10" applyNumberFormat="1" applyFont="1" applyFill="1" applyBorder="1"/>
    <xf numFmtId="0" fontId="19" fillId="15" borderId="0" xfId="1" applyFont="1" applyFill="1" applyAlignment="1" applyProtection="1">
      <alignment horizontal="center"/>
      <protection locked="0"/>
    </xf>
    <xf numFmtId="0" fontId="5" fillId="15" borderId="0" xfId="1" applyFont="1" applyFill="1" applyProtection="1">
      <protection locked="0"/>
    </xf>
    <xf numFmtId="0" fontId="16" fillId="15" borderId="0" xfId="1" applyFont="1" applyFill="1" applyAlignment="1" applyProtection="1">
      <alignment horizontal="center"/>
      <protection locked="0"/>
    </xf>
    <xf numFmtId="0" fontId="20" fillId="15" borderId="0" xfId="1" applyFont="1" applyFill="1" applyAlignment="1" applyProtection="1">
      <alignment horizontal="center"/>
      <protection locked="0"/>
    </xf>
    <xf numFmtId="0" fontId="15" fillId="15" borderId="8" xfId="1" applyFont="1" applyFill="1" applyBorder="1" applyProtection="1">
      <protection locked="0"/>
    </xf>
    <xf numFmtId="0" fontId="15" fillId="15" borderId="9" xfId="1" applyFont="1" applyFill="1" applyBorder="1" applyProtection="1">
      <protection locked="0"/>
    </xf>
    <xf numFmtId="0" fontId="15" fillId="15" borderId="10" xfId="1" applyFont="1" applyFill="1" applyBorder="1" applyProtection="1">
      <protection locked="0"/>
    </xf>
    <xf numFmtId="0" fontId="15" fillId="15" borderId="0" xfId="1" applyFont="1" applyFill="1" applyProtection="1">
      <protection locked="0"/>
    </xf>
    <xf numFmtId="0" fontId="15" fillId="15" borderId="11" xfId="1" applyFont="1" applyFill="1" applyBorder="1" applyProtection="1">
      <protection locked="0"/>
    </xf>
    <xf numFmtId="0" fontId="15" fillId="15" borderId="0" xfId="1" applyFont="1" applyFill="1" applyAlignment="1" applyProtection="1">
      <alignment horizontal="center"/>
      <protection locked="0"/>
    </xf>
    <xf numFmtId="0" fontId="18" fillId="15" borderId="0" xfId="1" applyFont="1" applyFill="1" applyAlignment="1" applyProtection="1">
      <alignment horizontal="center"/>
      <protection locked="0"/>
    </xf>
    <xf numFmtId="0" fontId="15" fillId="15" borderId="8" xfId="1" applyFont="1" applyFill="1" applyBorder="1" applyAlignment="1" applyProtection="1">
      <alignment horizontal="center"/>
      <protection locked="0"/>
    </xf>
    <xf numFmtId="0" fontId="15" fillId="15" borderId="9" xfId="1" applyFont="1" applyFill="1" applyBorder="1" applyAlignment="1" applyProtection="1">
      <alignment horizontal="center"/>
      <protection locked="0"/>
    </xf>
    <xf numFmtId="0" fontId="15" fillId="15" borderId="10" xfId="1" applyFont="1" applyFill="1" applyBorder="1" applyAlignment="1" applyProtection="1">
      <alignment horizontal="center"/>
      <protection locked="0"/>
    </xf>
    <xf numFmtId="0" fontId="16" fillId="15" borderId="14" xfId="1" applyFont="1" applyFill="1" applyBorder="1" applyProtection="1">
      <protection locked="0"/>
    </xf>
    <xf numFmtId="0" fontId="15" fillId="15" borderId="15" xfId="1" applyFont="1" applyFill="1" applyBorder="1" applyProtection="1">
      <protection locked="0"/>
    </xf>
    <xf numFmtId="0" fontId="4" fillId="0" borderId="0" xfId="1" applyProtection="1">
      <protection locked="0"/>
    </xf>
    <xf numFmtId="0" fontId="16" fillId="15" borderId="3" xfId="1" applyFont="1" applyFill="1" applyBorder="1" applyProtection="1">
      <protection locked="0"/>
    </xf>
    <xf numFmtId="0" fontId="15" fillId="15" borderId="16" xfId="1" applyFont="1" applyFill="1" applyBorder="1" applyProtection="1">
      <protection locked="0"/>
    </xf>
    <xf numFmtId="164" fontId="15" fillId="15" borderId="17" xfId="10" applyNumberFormat="1" applyFont="1" applyFill="1" applyBorder="1" applyProtection="1">
      <protection locked="0"/>
    </xf>
    <xf numFmtId="0" fontId="16" fillId="15" borderId="4" xfId="1" applyFont="1" applyFill="1" applyBorder="1" applyAlignment="1" applyProtection="1">
      <alignment horizontal="center"/>
      <protection locked="0"/>
    </xf>
    <xf numFmtId="0" fontId="16" fillId="15" borderId="8" xfId="1" applyFont="1" applyFill="1" applyBorder="1" applyProtection="1">
      <protection locked="0"/>
    </xf>
    <xf numFmtId="0" fontId="15" fillId="15" borderId="18" xfId="1" applyFont="1" applyFill="1" applyBorder="1" applyProtection="1">
      <protection locked="0"/>
    </xf>
    <xf numFmtId="164" fontId="15" fillId="15" borderId="9" xfId="10" applyNumberFormat="1" applyFont="1" applyFill="1" applyBorder="1" applyProtection="1">
      <protection locked="0"/>
    </xf>
    <xf numFmtId="165" fontId="15" fillId="15" borderId="19" xfId="1" applyNumberFormat="1" applyFont="1" applyFill="1" applyBorder="1" applyAlignment="1" applyProtection="1">
      <alignment horizontal="center"/>
      <protection locked="0"/>
    </xf>
    <xf numFmtId="165" fontId="15" fillId="15" borderId="13" xfId="1" applyNumberFormat="1" applyFont="1" applyFill="1" applyBorder="1" applyAlignment="1" applyProtection="1">
      <alignment horizontal="center"/>
      <protection locked="0"/>
    </xf>
    <xf numFmtId="165" fontId="15" fillId="15" borderId="9" xfId="1" applyNumberFormat="1" applyFont="1" applyFill="1" applyBorder="1" applyAlignment="1" applyProtection="1">
      <alignment horizontal="center"/>
      <protection locked="0"/>
    </xf>
    <xf numFmtId="165" fontId="15" fillId="15" borderId="0" xfId="1" applyNumberFormat="1" applyFont="1" applyFill="1" applyAlignment="1" applyProtection="1">
      <alignment horizontal="center" vertical="center" wrapText="1"/>
      <protection locked="0"/>
    </xf>
    <xf numFmtId="164" fontId="15" fillId="15" borderId="12" xfId="10" applyNumberFormat="1" applyFont="1" applyFill="1" applyBorder="1" applyAlignment="1" applyProtection="1">
      <alignment horizontal="center"/>
      <protection locked="0"/>
    </xf>
    <xf numFmtId="164" fontId="15" fillId="15" borderId="0" xfId="10" applyNumberFormat="1" applyFont="1" applyFill="1" applyAlignment="1" applyProtection="1">
      <alignment horizontal="center"/>
      <protection locked="0"/>
    </xf>
    <xf numFmtId="164" fontId="16" fillId="15" borderId="0" xfId="10" applyNumberFormat="1" applyFont="1" applyFill="1" applyAlignment="1" applyProtection="1">
      <alignment horizontal="center"/>
      <protection locked="0"/>
    </xf>
    <xf numFmtId="164" fontId="22" fillId="15" borderId="0" xfId="10" applyNumberFormat="1" applyFont="1" applyFill="1" applyAlignment="1" applyProtection="1">
      <alignment horizontal="center"/>
      <protection locked="0"/>
    </xf>
    <xf numFmtId="0" fontId="15" fillId="15" borderId="5" xfId="1" applyFont="1" applyFill="1" applyBorder="1" applyAlignment="1" applyProtection="1">
      <alignment horizontal="center"/>
      <protection locked="0"/>
    </xf>
    <xf numFmtId="164" fontId="15" fillId="15" borderId="20" xfId="10" applyNumberFormat="1" applyFont="1" applyFill="1" applyBorder="1" applyAlignment="1" applyProtection="1">
      <alignment horizontal="center"/>
      <protection locked="0"/>
    </xf>
    <xf numFmtId="0" fontId="16" fillId="15" borderId="6" xfId="1" applyFont="1" applyFill="1" applyBorder="1" applyProtection="1">
      <protection locked="0"/>
    </xf>
    <xf numFmtId="0" fontId="21" fillId="15" borderId="0" xfId="1" applyFont="1" applyFill="1" applyAlignment="1" applyProtection="1">
      <alignment horizontal="center"/>
      <protection locked="0"/>
    </xf>
    <xf numFmtId="0" fontId="16" fillId="15" borderId="7" xfId="1" applyFont="1" applyFill="1" applyBorder="1" applyProtection="1">
      <protection locked="0"/>
    </xf>
    <xf numFmtId="164" fontId="13" fillId="15" borderId="8" xfId="10" applyNumberFormat="1" applyFont="1" applyFill="1" applyBorder="1" applyProtection="1">
      <protection locked="0"/>
    </xf>
    <xf numFmtId="0" fontId="16" fillId="15" borderId="7" xfId="1" applyFont="1" applyFill="1" applyBorder="1" applyAlignment="1" applyProtection="1">
      <alignment horizontal="center"/>
      <protection locked="0"/>
    </xf>
    <xf numFmtId="165" fontId="15" fillId="15" borderId="12" xfId="1" applyNumberFormat="1" applyFont="1" applyFill="1" applyBorder="1" applyAlignment="1" applyProtection="1">
      <alignment horizontal="center"/>
      <protection locked="0"/>
    </xf>
    <xf numFmtId="164" fontId="23" fillId="15" borderId="0" xfId="10" applyNumberFormat="1" applyFont="1" applyFill="1" applyAlignment="1" applyProtection="1">
      <alignment horizontal="center"/>
      <protection locked="0"/>
    </xf>
    <xf numFmtId="164" fontId="15" fillId="15" borderId="0" xfId="10" applyNumberFormat="1" applyFont="1" applyFill="1" applyAlignment="1" applyProtection="1">
      <alignment horizontal="left" vertical="center"/>
      <protection locked="0"/>
    </xf>
    <xf numFmtId="164" fontId="15" fillId="15" borderId="17" xfId="10" applyNumberFormat="1" applyFont="1" applyFill="1" applyBorder="1" applyAlignment="1" applyProtection="1">
      <alignment horizontal="left" vertical="center"/>
      <protection locked="0"/>
    </xf>
    <xf numFmtId="0" fontId="14" fillId="15" borderId="0" xfId="1" applyFont="1" applyFill="1" applyAlignment="1" applyProtection="1">
      <alignment horizontal="center"/>
      <protection locked="0"/>
    </xf>
    <xf numFmtId="164" fontId="16" fillId="15" borderId="14" xfId="10" applyNumberFormat="1" applyFont="1" applyFill="1" applyBorder="1" applyProtection="1">
      <protection locked="0"/>
    </xf>
    <xf numFmtId="164" fontId="17" fillId="15" borderId="11" xfId="10" applyNumberFormat="1" applyFont="1" applyFill="1" applyBorder="1" applyProtection="1">
      <protection locked="0"/>
    </xf>
    <xf numFmtId="164" fontId="15" fillId="15" borderId="11" xfId="10" applyNumberFormat="1" applyFont="1" applyFill="1" applyBorder="1" applyProtection="1">
      <protection locked="0"/>
    </xf>
    <xf numFmtId="164" fontId="15" fillId="15" borderId="14" xfId="10" applyNumberFormat="1" applyFont="1" applyFill="1" applyBorder="1" applyProtection="1">
      <protection locked="0"/>
    </xf>
    <xf numFmtId="164" fontId="15" fillId="15" borderId="20" xfId="10" applyNumberFormat="1" applyFont="1" applyFill="1" applyBorder="1" applyProtection="1">
      <protection locked="0"/>
    </xf>
    <xf numFmtId="164" fontId="15" fillId="15" borderId="5" xfId="10" applyNumberFormat="1" applyFont="1" applyFill="1" applyBorder="1" applyProtection="1">
      <protection locked="0"/>
    </xf>
    <xf numFmtId="164" fontId="21" fillId="15" borderId="0" xfId="10" applyNumberFormat="1" applyFont="1" applyFill="1" applyProtection="1">
      <protection locked="0"/>
    </xf>
    <xf numFmtId="164" fontId="15" fillId="15" borderId="6" xfId="10" applyNumberFormat="1" applyFont="1" applyFill="1" applyBorder="1" applyProtection="1">
      <protection locked="0"/>
    </xf>
    <xf numFmtId="164" fontId="16" fillId="15" borderId="3" xfId="10" applyNumberFormat="1" applyFont="1" applyFill="1" applyBorder="1" applyProtection="1">
      <protection locked="0"/>
    </xf>
    <xf numFmtId="164" fontId="15" fillId="15" borderId="7" xfId="10" applyNumberFormat="1" applyFont="1" applyFill="1" applyBorder="1" applyProtection="1">
      <protection locked="0"/>
    </xf>
    <xf numFmtId="164" fontId="16" fillId="15" borderId="0" xfId="10" applyNumberFormat="1" applyFont="1" applyFill="1" applyProtection="1">
      <protection locked="0"/>
    </xf>
    <xf numFmtId="164" fontId="15" fillId="15" borderId="17" xfId="10" quotePrefix="1" applyNumberFormat="1" applyFont="1" applyFill="1" applyBorder="1" applyProtection="1">
      <protection locked="0"/>
    </xf>
    <xf numFmtId="164" fontId="15" fillId="15" borderId="8" xfId="10" applyNumberFormat="1" applyFont="1" applyFill="1" applyBorder="1" applyProtection="1">
      <protection locked="0"/>
    </xf>
    <xf numFmtId="164" fontId="16" fillId="15" borderId="6" xfId="10" applyNumberFormat="1" applyFont="1" applyFill="1" applyBorder="1" applyProtection="1">
      <protection locked="0"/>
    </xf>
    <xf numFmtId="164" fontId="16" fillId="15" borderId="3" xfId="10" applyNumberFormat="1" applyFont="1" applyFill="1" applyBorder="1" applyAlignment="1" applyProtection="1">
      <alignment horizontal="right"/>
      <protection locked="0"/>
    </xf>
    <xf numFmtId="164" fontId="15" fillId="15" borderId="0" xfId="10" applyNumberFormat="1" applyFont="1" applyFill="1" applyAlignment="1" applyProtection="1">
      <alignment horizontal="right"/>
      <protection locked="0"/>
    </xf>
    <xf numFmtId="164" fontId="15" fillId="15" borderId="19" xfId="10" applyNumberFormat="1" applyFont="1" applyFill="1" applyBorder="1" applyAlignment="1" applyProtection="1">
      <alignment horizontal="right"/>
      <protection locked="0"/>
    </xf>
    <xf numFmtId="164" fontId="15" fillId="15" borderId="12" xfId="10" applyNumberFormat="1" applyFont="1" applyFill="1" applyBorder="1" applyProtection="1">
      <protection locked="0"/>
    </xf>
    <xf numFmtId="164" fontId="22" fillId="15" borderId="3" xfId="10" applyNumberFormat="1" applyFont="1" applyFill="1" applyBorder="1" applyProtection="1">
      <protection locked="0"/>
    </xf>
    <xf numFmtId="164" fontId="15" fillId="0" borderId="0" xfId="10" quotePrefix="1" applyNumberFormat="1" applyFont="1" applyProtection="1">
      <protection locked="0"/>
    </xf>
    <xf numFmtId="164" fontId="20" fillId="15" borderId="3" xfId="10" applyNumberFormat="1" applyFont="1" applyFill="1" applyBorder="1" applyProtection="1">
      <protection locked="0"/>
    </xf>
    <xf numFmtId="164" fontId="15" fillId="15" borderId="10" xfId="10" applyNumberFormat="1" applyFont="1" applyFill="1" applyBorder="1" applyProtection="1">
      <protection locked="0"/>
    </xf>
    <xf numFmtId="164" fontId="5" fillId="15" borderId="0" xfId="10" applyNumberFormat="1" applyFont="1" applyFill="1" applyProtection="1">
      <protection locked="0"/>
    </xf>
    <xf numFmtId="164" fontId="15" fillId="15" borderId="8" xfId="10" applyNumberFormat="1" applyFont="1" applyFill="1" applyBorder="1" applyAlignment="1" applyProtection="1">
      <alignment vertical="center" wrapText="1"/>
      <protection locked="0"/>
    </xf>
    <xf numFmtId="164" fontId="15" fillId="15" borderId="9" xfId="10" applyNumberFormat="1" applyFont="1" applyFill="1" applyBorder="1" applyAlignment="1" applyProtection="1">
      <alignment vertical="center" wrapText="1"/>
      <protection locked="0"/>
    </xf>
    <xf numFmtId="164" fontId="15" fillId="15" borderId="10" xfId="10" applyNumberFormat="1" applyFont="1" applyFill="1" applyBorder="1" applyAlignment="1" applyProtection="1">
      <alignment vertical="center" wrapText="1"/>
      <protection locked="0"/>
    </xf>
    <xf numFmtId="0" fontId="4" fillId="0" borderId="11" xfId="1" applyBorder="1"/>
    <xf numFmtId="0" fontId="4" fillId="0" borderId="20" xfId="1" applyBorder="1"/>
    <xf numFmtId="164" fontId="15" fillId="15" borderId="14" xfId="10" applyNumberFormat="1" applyFont="1" applyFill="1" applyBorder="1" applyAlignment="1" applyProtection="1">
      <alignment horizontal="right"/>
      <protection locked="0"/>
    </xf>
    <xf numFmtId="0" fontId="15" fillId="0" borderId="11" xfId="1" applyFont="1" applyBorder="1"/>
    <xf numFmtId="164" fontId="21" fillId="15" borderId="0" xfId="10" applyNumberFormat="1" applyFont="1" applyFill="1" applyAlignment="1" applyProtection="1">
      <alignment vertical="center"/>
      <protection locked="0"/>
    </xf>
    <xf numFmtId="0" fontId="4" fillId="0" borderId="0" xfId="1" applyAlignment="1">
      <alignment horizontal="right"/>
    </xf>
    <xf numFmtId="0" fontId="15" fillId="0" borderId="0" xfId="1" applyFont="1"/>
    <xf numFmtId="164" fontId="15" fillId="0" borderId="9" xfId="1" applyNumberFormat="1" applyFont="1" applyBorder="1"/>
    <xf numFmtId="164" fontId="25" fillId="0" borderId="20" xfId="9" applyNumberFormat="1" applyFont="1" applyBorder="1"/>
    <xf numFmtId="0" fontId="15" fillId="0" borderId="10" xfId="1" applyFont="1" applyBorder="1" applyAlignment="1">
      <alignment horizontal="right"/>
    </xf>
    <xf numFmtId="0" fontId="4" fillId="0" borderId="17" xfId="1" applyBorder="1" applyAlignment="1">
      <alignment horizontal="right"/>
    </xf>
    <xf numFmtId="164" fontId="15" fillId="15" borderId="19" xfId="10" quotePrefix="1" applyNumberFormat="1" applyFont="1" applyFill="1" applyBorder="1" applyAlignment="1" applyProtection="1">
      <alignment horizontal="center"/>
      <protection locked="0"/>
    </xf>
    <xf numFmtId="164" fontId="15" fillId="16" borderId="0" xfId="10" quotePrefix="1" applyNumberFormat="1" applyFont="1" applyFill="1" applyProtection="1">
      <protection locked="0"/>
    </xf>
    <xf numFmtId="165" fontId="15" fillId="17" borderId="7" xfId="1" applyNumberFormat="1" applyFont="1" applyFill="1" applyBorder="1" applyAlignment="1" applyProtection="1">
      <alignment horizontal="center"/>
      <protection locked="0"/>
    </xf>
    <xf numFmtId="164" fontId="15" fillId="15" borderId="3" xfId="10" applyNumberFormat="1" applyFont="1" applyFill="1" applyBorder="1" applyAlignment="1" applyProtection="1">
      <alignment horizontal="right"/>
      <protection locked="0"/>
    </xf>
    <xf numFmtId="164" fontId="21" fillId="15" borderId="17" xfId="10" applyNumberFormat="1" applyFont="1" applyFill="1" applyBorder="1" applyProtection="1">
      <protection locked="0"/>
    </xf>
    <xf numFmtId="164" fontId="16" fillId="15" borderId="8" xfId="10" applyNumberFormat="1" applyFont="1" applyFill="1" applyBorder="1" applyProtection="1">
      <protection locked="0"/>
    </xf>
    <xf numFmtId="164" fontId="16" fillId="15" borderId="17" xfId="10" applyNumberFormat="1" applyFont="1" applyFill="1" applyBorder="1" applyProtection="1">
      <protection locked="0"/>
    </xf>
    <xf numFmtId="164" fontId="15" fillId="15" borderId="8" xfId="10" applyNumberFormat="1" applyFont="1" applyFill="1" applyBorder="1" applyAlignment="1" applyProtection="1">
      <alignment horizontal="right"/>
      <protection locked="0"/>
    </xf>
    <xf numFmtId="164" fontId="16" fillId="15" borderId="14" xfId="10" applyNumberFormat="1" applyFont="1" applyFill="1" applyBorder="1" applyAlignment="1" applyProtection="1">
      <alignment horizontal="right"/>
      <protection locked="0"/>
    </xf>
    <xf numFmtId="164" fontId="24" fillId="0" borderId="11" xfId="23" applyNumberFormat="1" applyFont="1" applyBorder="1"/>
    <xf numFmtId="164" fontId="21" fillId="15" borderId="0" xfId="10" applyNumberFormat="1" applyFont="1" applyFill="1"/>
    <xf numFmtId="0" fontId="19" fillId="15" borderId="5" xfId="1" applyFont="1" applyFill="1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0" fillId="0" borderId="20" xfId="0" applyBorder="1" applyProtection="1">
      <protection locked="0"/>
    </xf>
    <xf numFmtId="164" fontId="15" fillId="15" borderId="6" xfId="10" applyNumberFormat="1" applyFont="1" applyFill="1" applyBorder="1" applyAlignment="1" applyProtection="1">
      <alignment horizontal="center"/>
      <protection locked="0"/>
    </xf>
    <xf numFmtId="0" fontId="0" fillId="0" borderId="17" xfId="0" applyBorder="1" applyProtection="1">
      <protection locked="0"/>
    </xf>
    <xf numFmtId="0" fontId="15" fillId="15" borderId="4" xfId="1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164" fontId="15" fillId="15" borderId="4" xfId="10" applyNumberFormat="1" applyFont="1" applyFill="1" applyBorder="1" applyAlignment="1" applyProtection="1">
      <alignment horizontal="center"/>
      <protection locked="0"/>
    </xf>
    <xf numFmtId="164" fontId="13" fillId="15" borderId="6" xfId="10" applyNumberFormat="1" applyFont="1" applyFill="1" applyBorder="1" applyAlignment="1" applyProtection="1">
      <alignment horizontal="center"/>
      <protection locked="0"/>
    </xf>
    <xf numFmtId="165" fontId="15" fillId="15" borderId="4" xfId="1" applyNumberFormat="1" applyFont="1" applyFill="1" applyBorder="1" applyAlignment="1" applyProtection="1">
      <alignment horizontal="center"/>
      <protection locked="0"/>
    </xf>
    <xf numFmtId="164" fontId="15" fillId="15" borderId="6" xfId="1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14" fontId="15" fillId="15" borderId="4" xfId="1" quotePrefix="1" applyNumberFormat="1" applyFont="1" applyFill="1" applyBorder="1" applyAlignment="1" applyProtection="1">
      <alignment horizontal="center"/>
      <protection locked="0"/>
    </xf>
    <xf numFmtId="14" fontId="15" fillId="15" borderId="4" xfId="1" applyNumberFormat="1" applyFont="1" applyFill="1" applyBorder="1" applyAlignment="1" applyProtection="1">
      <alignment horizontal="center"/>
      <protection locked="0"/>
    </xf>
    <xf numFmtId="164" fontId="15" fillId="15" borderId="8" xfId="10" applyNumberFormat="1" applyFont="1" applyFill="1" applyBorder="1" applyAlignment="1" applyProtection="1">
      <alignment horizontal="center"/>
      <protection locked="0"/>
    </xf>
    <xf numFmtId="0" fontId="0" fillId="0" borderId="9" xfId="0" applyBorder="1" applyProtection="1">
      <protection locked="0"/>
    </xf>
    <xf numFmtId="165" fontId="15" fillId="15" borderId="7" xfId="1" applyNumberFormat="1" applyFont="1" applyFill="1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164" fontId="15" fillId="15" borderId="6" xfId="10" applyNumberFormat="1" applyFont="1" applyFill="1" applyBorder="1" applyAlignment="1">
      <alignment horizontal="center"/>
    </xf>
    <xf numFmtId="0" fontId="0" fillId="0" borderId="17" xfId="0" applyBorder="1"/>
    <xf numFmtId="164" fontId="23" fillId="15" borderId="4" xfId="10" applyNumberFormat="1" applyFont="1" applyFill="1" applyBorder="1" applyAlignment="1" applyProtection="1">
      <alignment horizontal="center"/>
      <protection locked="0"/>
    </xf>
    <xf numFmtId="0" fontId="15" fillId="17" borderId="4" xfId="1" applyFont="1" applyFill="1" applyBorder="1" applyAlignment="1">
      <alignment horizontal="center"/>
    </xf>
    <xf numFmtId="0" fontId="0" fillId="0" borderId="11" xfId="0" applyBorder="1"/>
    <xf numFmtId="0" fontId="0" fillId="0" borderId="2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21" fillId="15" borderId="0" xfId="10" applyNumberFormat="1" applyFont="1" applyFill="1" applyAlignment="1" applyProtection="1">
      <alignment horizontal="left" vertical="center" wrapText="1"/>
      <protection locked="0"/>
    </xf>
    <xf numFmtId="166" fontId="16" fillId="15" borderId="4" xfId="8" applyFont="1" applyFill="1" applyBorder="1" applyAlignment="1" applyProtection="1">
      <alignment horizontal="center"/>
      <protection locked="0"/>
    </xf>
    <xf numFmtId="0" fontId="15" fillId="15" borderId="0" xfId="1" applyFont="1" applyFill="1" applyAlignment="1" applyProtection="1">
      <alignment horizontal="center"/>
      <protection locked="0"/>
    </xf>
    <xf numFmtId="164" fontId="13" fillId="15" borderId="14" xfId="10" applyNumberFormat="1" applyFont="1" applyFill="1" applyBorder="1" applyAlignment="1" applyProtection="1">
      <alignment horizontal="center"/>
      <protection locked="0"/>
    </xf>
    <xf numFmtId="164" fontId="13" fillId="15" borderId="5" xfId="10" applyNumberFormat="1" applyFont="1" applyFill="1" applyBorder="1" applyAlignment="1" applyProtection="1">
      <alignment horizontal="center"/>
      <protection locked="0"/>
    </xf>
    <xf numFmtId="164" fontId="15" fillId="15" borderId="21" xfId="10" applyNumberFormat="1" applyFont="1" applyFill="1" applyBorder="1" applyAlignment="1" applyProtection="1">
      <alignment horizontal="center"/>
      <protection locked="0"/>
    </xf>
    <xf numFmtId="0" fontId="0" fillId="0" borderId="21" xfId="0" applyBorder="1" applyProtection="1">
      <protection locked="0"/>
    </xf>
    <xf numFmtId="0" fontId="15" fillId="15" borderId="8" xfId="1" applyFont="1" applyFill="1" applyBorder="1" applyAlignment="1" applyProtection="1">
      <alignment horizontal="left"/>
      <protection locked="0"/>
    </xf>
    <xf numFmtId="0" fontId="15" fillId="17" borderId="4" xfId="1" applyFont="1" applyFill="1" applyBorder="1" applyAlignment="1" applyProtection="1">
      <alignment horizontal="center"/>
      <protection locked="0"/>
    </xf>
    <xf numFmtId="164" fontId="15" fillId="15" borderId="4" xfId="10" applyNumberFormat="1" applyFont="1" applyFill="1" applyBorder="1" applyProtection="1">
      <protection locked="0"/>
    </xf>
    <xf numFmtId="164" fontId="15" fillId="15" borderId="4" xfId="10" quotePrefix="1" applyNumberFormat="1" applyFont="1" applyFill="1" applyBorder="1" applyAlignment="1" applyProtection="1">
      <alignment horizontal="center"/>
      <protection locked="0"/>
    </xf>
    <xf numFmtId="0" fontId="16" fillId="15" borderId="6" xfId="1" applyFont="1" applyFill="1" applyBorder="1" applyAlignment="1" applyProtection="1">
      <alignment horizontal="center"/>
      <protection locked="0"/>
    </xf>
    <xf numFmtId="164" fontId="15" fillId="15" borderId="3" xfId="10" applyNumberFormat="1" applyFont="1" applyFill="1" applyBorder="1" applyProtection="1">
      <protection locked="0"/>
    </xf>
    <xf numFmtId="0" fontId="15" fillId="17" borderId="6" xfId="1" applyFont="1" applyFill="1" applyBorder="1" applyAlignment="1" applyProtection="1">
      <alignment horizontal="center"/>
      <protection locked="0"/>
    </xf>
    <xf numFmtId="0" fontId="21" fillId="15" borderId="6" xfId="1" applyFont="1" applyFill="1" applyBorder="1" applyAlignment="1" applyProtection="1">
      <alignment horizontal="center"/>
      <protection locked="0"/>
    </xf>
    <xf numFmtId="165" fontId="15" fillId="15" borderId="4" xfId="1" applyNumberFormat="1" applyFont="1" applyFill="1" applyBorder="1" applyAlignment="1" applyProtection="1">
      <alignment horizontal="center" vertical="center" wrapText="1"/>
      <protection locked="0"/>
    </xf>
    <xf numFmtId="164" fontId="13" fillId="15" borderId="3" xfId="10" applyNumberFormat="1" applyFont="1" applyFill="1" applyBorder="1" applyAlignment="1" applyProtection="1">
      <alignment horizontal="center"/>
      <protection locked="0"/>
    </xf>
    <xf numFmtId="0" fontId="16" fillId="15" borderId="4" xfId="1" applyFont="1" applyFill="1" applyBorder="1" applyAlignment="1" applyProtection="1">
      <alignment horizontal="center"/>
      <protection locked="0"/>
    </xf>
    <xf numFmtId="164" fontId="15" fillId="15" borderId="17" xfId="10" applyNumberFormat="1" applyFont="1" applyFill="1" applyBorder="1" applyAlignment="1" applyProtection="1">
      <alignment horizontal="left"/>
      <protection locked="0"/>
    </xf>
    <xf numFmtId="164" fontId="16" fillId="15" borderId="3" xfId="10" applyNumberFormat="1" applyFont="1" applyFill="1" applyBorder="1" applyAlignment="1" applyProtection="1">
      <alignment horizontal="center"/>
      <protection locked="0"/>
    </xf>
    <xf numFmtId="0" fontId="21" fillId="15" borderId="5" xfId="1" applyFont="1" applyFill="1" applyBorder="1" applyAlignment="1" applyProtection="1">
      <alignment horizontal="center"/>
      <protection locked="0"/>
    </xf>
    <xf numFmtId="164" fontId="15" fillId="15" borderId="17" xfId="10" applyNumberFormat="1" applyFont="1" applyFill="1" applyBorder="1" applyAlignment="1" applyProtection="1">
      <alignment horizontal="center"/>
      <protection locked="0"/>
    </xf>
    <xf numFmtId="164" fontId="15" fillId="15" borderId="7" xfId="10" applyNumberFormat="1" applyFont="1" applyFill="1" applyBorder="1" applyAlignment="1" applyProtection="1">
      <alignment horizontal="left" vertical="center" wrapText="1"/>
      <protection locked="0"/>
    </xf>
    <xf numFmtId="0" fontId="0" fillId="0" borderId="8" xfId="0" applyBorder="1" applyProtection="1">
      <protection locked="0"/>
    </xf>
    <xf numFmtId="164" fontId="15" fillId="15" borderId="11" xfId="10" applyNumberFormat="1" applyFont="1" applyFill="1" applyBorder="1" applyAlignment="1" applyProtection="1">
      <alignment horizontal="center" vertical="center" wrapText="1"/>
      <protection locked="0"/>
    </xf>
    <xf numFmtId="0" fontId="15" fillId="15" borderId="9" xfId="1" applyFont="1" applyFill="1" applyBorder="1" applyAlignment="1" applyProtection="1">
      <alignment horizontal="center"/>
      <protection locked="0"/>
    </xf>
    <xf numFmtId="164" fontId="15" fillId="15" borderId="12" xfId="10" applyNumberFormat="1" applyFont="1" applyFill="1" applyBorder="1" applyAlignment="1" applyProtection="1">
      <alignment horizontal="center"/>
      <protection locked="0"/>
    </xf>
    <xf numFmtId="164" fontId="22" fillId="15" borderId="4" xfId="10" applyNumberFormat="1" applyFont="1" applyFill="1" applyBorder="1" applyAlignment="1" applyProtection="1">
      <alignment horizontal="center"/>
      <protection locked="0"/>
    </xf>
    <xf numFmtId="165" fontId="15" fillId="17" borderId="4" xfId="1" applyNumberFormat="1" applyFont="1" applyFill="1" applyBorder="1" applyAlignment="1" applyProtection="1">
      <alignment horizontal="center"/>
      <protection locked="0"/>
    </xf>
    <xf numFmtId="164" fontId="13" fillId="15" borderId="10" xfId="10" applyNumberFormat="1" applyFont="1" applyFill="1" applyBorder="1" applyProtection="1">
      <protection locked="0"/>
    </xf>
    <xf numFmtId="164" fontId="16" fillId="15" borderId="4" xfId="10" applyNumberFormat="1" applyFont="1" applyFill="1" applyBorder="1" applyAlignment="1" applyProtection="1">
      <alignment horizontal="center"/>
      <protection locked="0"/>
    </xf>
    <xf numFmtId="0" fontId="15" fillId="15" borderId="20" xfId="1" applyFont="1" applyFill="1" applyBorder="1" applyAlignment="1" applyProtection="1">
      <alignment horizontal="center"/>
      <protection locked="0"/>
    </xf>
    <xf numFmtId="164" fontId="15" fillId="15" borderId="0" xfId="10" applyNumberFormat="1" applyFont="1" applyFill="1" applyAlignment="1" applyProtection="1">
      <alignment horizontal="left" vertical="center" wrapText="1"/>
      <protection locked="0"/>
    </xf>
    <xf numFmtId="0" fontId="16" fillId="15" borderId="12" xfId="1" applyFont="1" applyFill="1" applyBorder="1" applyAlignment="1" applyProtection="1">
      <alignment horizontal="center"/>
      <protection locked="0"/>
    </xf>
    <xf numFmtId="0" fontId="20" fillId="15" borderId="6" xfId="1" applyFont="1" applyFill="1" applyBorder="1" applyAlignment="1" applyProtection="1">
      <alignment horizontal="center"/>
      <protection locked="0"/>
    </xf>
    <xf numFmtId="164" fontId="15" fillId="15" borderId="4" xfId="10" applyNumberFormat="1" applyFont="1" applyFill="1" applyBorder="1" applyAlignment="1" applyProtection="1">
      <alignment horizontal="center" vertical="center" wrapText="1"/>
      <protection locked="0"/>
    </xf>
    <xf numFmtId="0" fontId="14" fillId="15" borderId="7" xfId="1" applyFont="1" applyFill="1" applyBorder="1" applyAlignment="1" applyProtection="1">
      <alignment horizontal="center"/>
      <protection locked="0"/>
    </xf>
    <xf numFmtId="0" fontId="15" fillId="17" borderId="3" xfId="1" applyFont="1" applyFill="1" applyBorder="1" applyAlignment="1" applyProtection="1">
      <alignment horizontal="center"/>
      <protection locked="0"/>
    </xf>
    <xf numFmtId="0" fontId="15" fillId="0" borderId="12" xfId="1" applyFont="1" applyBorder="1" applyAlignment="1">
      <alignment horizontal="center"/>
    </xf>
    <xf numFmtId="0" fontId="0" fillId="0" borderId="12" xfId="0" applyBorder="1"/>
    <xf numFmtId="0" fontId="16" fillId="15" borderId="11" xfId="1" applyFont="1" applyFill="1" applyBorder="1" applyAlignment="1" applyProtection="1">
      <alignment horizontal="center"/>
      <protection locked="0"/>
    </xf>
    <xf numFmtId="0" fontId="16" fillId="15" borderId="5" xfId="1" applyFont="1" applyFill="1" applyBorder="1" applyAlignment="1" applyProtection="1">
      <alignment horizontal="center"/>
      <protection locked="0"/>
    </xf>
    <xf numFmtId="164" fontId="15" fillId="15" borderId="5" xfId="10" applyNumberFormat="1" applyFont="1" applyFill="1" applyBorder="1" applyAlignment="1" applyProtection="1">
      <alignment horizontal="center"/>
      <protection locked="0"/>
    </xf>
    <xf numFmtId="0" fontId="16" fillId="15" borderId="4" xfId="1" applyFont="1" applyFill="1" applyBorder="1" applyAlignment="1" applyProtection="1">
      <alignment horizontal="center" vertical="center"/>
      <protection locked="0"/>
    </xf>
    <xf numFmtId="164" fontId="13" fillId="15" borderId="17" xfId="10" applyNumberFormat="1" applyFont="1" applyFill="1" applyBorder="1" applyProtection="1">
      <protection locked="0"/>
    </xf>
    <xf numFmtId="164" fontId="13" fillId="15" borderId="20" xfId="10" applyNumberFormat="1" applyFont="1" applyFill="1" applyBorder="1" applyProtection="1">
      <protection locked="0"/>
    </xf>
    <xf numFmtId="0" fontId="15" fillId="15" borderId="4" xfId="1" applyFont="1" applyFill="1" applyBorder="1" applyAlignment="1" applyProtection="1">
      <alignment horizontal="center" vertical="center" wrapText="1"/>
      <protection locked="0"/>
    </xf>
    <xf numFmtId="164" fontId="16" fillId="15" borderId="6" xfId="10" applyNumberFormat="1" applyFont="1" applyFill="1" applyBorder="1" applyAlignment="1" applyProtection="1">
      <alignment horizontal="center"/>
      <protection locked="0"/>
    </xf>
  </cellXfs>
  <cellStyles count="36">
    <cellStyle name="60% - Accent1 2" xfId="2" xr:uid="{00000000-0005-0000-0000-000022000000}"/>
    <cellStyle name="60% - Accent2 2" xfId="3" xr:uid="{00000000-0005-0000-0000-000023000000}"/>
    <cellStyle name="60% - Accent3 2" xfId="4" xr:uid="{00000000-0005-0000-0000-000024000000}"/>
    <cellStyle name="60% - Accent4 2" xfId="5" xr:uid="{00000000-0005-0000-0000-000025000000}"/>
    <cellStyle name="60% - Accent5 2" xfId="6" xr:uid="{00000000-0005-0000-0000-000026000000}"/>
    <cellStyle name="60% - Accent6 2" xfId="7" xr:uid="{00000000-0005-0000-0000-000027000000}"/>
    <cellStyle name="Comma 2" xfId="9" xr:uid="{00000000-0005-0000-0000-000029000000}"/>
    <cellStyle name="Comma 3" xfId="8" xr:uid="{00000000-0005-0000-0000-000028000000}"/>
    <cellStyle name="Comma_From 16" xfId="10" xr:uid="{00000000-0005-0000-0000-00002A000000}"/>
    <cellStyle name="Data_0dp" xfId="11" xr:uid="{00000000-0005-0000-0000-00002B000000}"/>
    <cellStyle name="Derive" xfId="12" xr:uid="{00000000-0005-0000-0000-00002C000000}"/>
    <cellStyle name="Info_Main" xfId="13" xr:uid="{00000000-0005-0000-0000-00002D000000}"/>
    <cellStyle name="Neutral 2" xfId="14" xr:uid="{00000000-0005-0000-0000-00002E000000}"/>
    <cellStyle name="Normal" xfId="0" builtinId="0"/>
    <cellStyle name="Normal - Style1" xfId="15" xr:uid="{00000000-0005-0000-0000-00002F000000}"/>
    <cellStyle name="Normal 10" xfId="16" xr:uid="{00000000-0005-0000-0000-000030000000}"/>
    <cellStyle name="Normal 11" xfId="17" xr:uid="{00000000-0005-0000-0000-000031000000}"/>
    <cellStyle name="Normal 12" xfId="18" xr:uid="{00000000-0005-0000-0000-000032000000}"/>
    <cellStyle name="Normal 13" xfId="19" xr:uid="{00000000-0005-0000-0000-000033000000}"/>
    <cellStyle name="Normal 14" xfId="20" xr:uid="{00000000-0005-0000-0000-000034000000}"/>
    <cellStyle name="Normal 15" xfId="21" xr:uid="{00000000-0005-0000-0000-000035000000}"/>
    <cellStyle name="Normal 16" xfId="1" xr:uid="{00000000-0005-0000-0000-000021000000}"/>
    <cellStyle name="Normal 2" xfId="22" xr:uid="{00000000-0005-0000-0000-000036000000}"/>
    <cellStyle name="Normal 3" xfId="23" xr:uid="{00000000-0005-0000-0000-000037000000}"/>
    <cellStyle name="Normal 4" xfId="24" xr:uid="{00000000-0005-0000-0000-000038000000}"/>
    <cellStyle name="Normal 5" xfId="25" xr:uid="{00000000-0005-0000-0000-000039000000}"/>
    <cellStyle name="Normal 6" xfId="26" xr:uid="{00000000-0005-0000-0000-00003A000000}"/>
    <cellStyle name="Normal 7" xfId="27" xr:uid="{00000000-0005-0000-0000-00003B000000}"/>
    <cellStyle name="Normal 8" xfId="28" xr:uid="{00000000-0005-0000-0000-00003C000000}"/>
    <cellStyle name="Normal 9" xfId="29" xr:uid="{00000000-0005-0000-0000-00003D000000}"/>
    <cellStyle name="Note 2" xfId="30" xr:uid="{00000000-0005-0000-0000-00003E000000}"/>
    <cellStyle name="Shade" xfId="31" xr:uid="{00000000-0005-0000-0000-00003F000000}"/>
    <cellStyle name="Synopsis" xfId="32" xr:uid="{00000000-0005-0000-0000-000040000000}"/>
    <cellStyle name="Title 2" xfId="34" xr:uid="{00000000-0005-0000-0000-000042000000}"/>
    <cellStyle name="Title 3" xfId="33" xr:uid="{00000000-0005-0000-0000-000041000000}"/>
    <cellStyle name="Use_1dp" xfId="35" xr:uid="{00000000-0005-0000-0000-00004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542924</xdr:colOff>
      <xdr:row>144</xdr:row>
      <xdr:rowOff>17882</xdr:rowOff>
    </xdr:from>
    <xdr:to>
      <xdr:col>10</xdr:col>
      <xdr:colOff>400049</xdr:colOff>
      <xdr:row>147</xdr:row>
      <xdr:rowOff>38161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5312B2-E563-40CF-B19D-219817FEE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9724" y="27630857"/>
          <a:ext cx="1076325" cy="5917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68"/>
  <sheetViews>
    <sheetView topLeftCell="A75" workbookViewId="0">
      <selection activeCell="I83" sqref="I83"/>
    </sheetView>
  </sheetViews>
  <sheetFormatPr defaultRowHeight="15"/>
  <sheetData>
    <row r="1" spans="1:148" ht="18" customHeight="1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/>
      <c r="M1" s="16"/>
      <c r="N1" s="16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</row>
    <row r="2" spans="1:148">
      <c r="A2" s="147" t="s">
        <v>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12"/>
      <c r="M2" s="18"/>
      <c r="N2" s="18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7"/>
    </row>
    <row r="3" spans="1:148">
      <c r="A3" s="147" t="s">
        <v>2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12"/>
      <c r="M3" s="18"/>
      <c r="N3" s="18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</row>
    <row r="4" spans="1:148">
      <c r="A4" s="170" t="s">
        <v>3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12"/>
      <c r="M4" s="19"/>
      <c r="N4" s="19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</row>
    <row r="5" spans="1:148">
      <c r="A5" s="170" t="s">
        <v>4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12"/>
      <c r="M5" s="19"/>
      <c r="N5" s="19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</row>
    <row r="6" spans="1:148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2"/>
      <c r="M6" s="23"/>
      <c r="N6" s="23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</row>
    <row r="7" spans="1:148">
      <c r="A7" s="177" t="s">
        <v>5</v>
      </c>
      <c r="B7" s="109"/>
      <c r="C7" s="109"/>
      <c r="D7" s="109"/>
      <c r="E7" s="109"/>
      <c r="F7" s="110"/>
      <c r="G7" s="177" t="s">
        <v>6</v>
      </c>
      <c r="H7" s="109"/>
      <c r="I7" s="109"/>
      <c r="J7" s="109"/>
      <c r="K7" s="109"/>
      <c r="L7" s="110"/>
      <c r="M7" s="18"/>
      <c r="N7" s="18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</row>
    <row r="8" spans="1:148">
      <c r="A8" s="149" t="s">
        <v>7</v>
      </c>
      <c r="B8" s="120"/>
      <c r="C8" s="120"/>
      <c r="D8" s="120"/>
      <c r="E8" s="120"/>
      <c r="F8" s="112"/>
      <c r="G8" s="149"/>
      <c r="H8" s="120"/>
      <c r="I8" s="120"/>
      <c r="J8" s="120"/>
      <c r="K8" s="120"/>
      <c r="L8" s="112"/>
      <c r="M8" s="25"/>
      <c r="N8" s="25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</row>
    <row r="9" spans="1:148">
      <c r="A9" s="149" t="s">
        <v>8</v>
      </c>
      <c r="B9" s="120"/>
      <c r="C9" s="120"/>
      <c r="D9" s="120"/>
      <c r="E9" s="120"/>
      <c r="F9" s="112"/>
      <c r="G9" s="149"/>
      <c r="H9" s="120"/>
      <c r="I9" s="120"/>
      <c r="J9" s="120"/>
      <c r="K9" s="120"/>
      <c r="L9" s="112"/>
      <c r="M9" s="26"/>
      <c r="N9" s="26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</row>
    <row r="10" spans="1:148">
      <c r="A10" s="149" t="s">
        <v>9</v>
      </c>
      <c r="B10" s="120"/>
      <c r="C10" s="120"/>
      <c r="D10" s="120"/>
      <c r="E10" s="120"/>
      <c r="F10" s="112"/>
      <c r="G10" s="149"/>
      <c r="H10" s="120"/>
      <c r="I10" s="120"/>
      <c r="J10" s="120"/>
      <c r="K10" s="120"/>
      <c r="L10" s="112"/>
      <c r="M10" s="25"/>
      <c r="N10" s="25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</row>
    <row r="11" spans="1:148">
      <c r="A11" s="149" t="s">
        <v>10</v>
      </c>
      <c r="B11" s="120"/>
      <c r="C11" s="120"/>
      <c r="D11" s="120"/>
      <c r="E11" s="120"/>
      <c r="F11" s="112"/>
      <c r="G11" s="149"/>
      <c r="H11" s="120"/>
      <c r="I11" s="120"/>
      <c r="J11" s="120"/>
      <c r="K11" s="120"/>
      <c r="L11" s="112"/>
      <c r="M11" s="25"/>
      <c r="N11" s="25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</row>
    <row r="12" spans="1:148">
      <c r="A12" s="153" t="s">
        <v>11</v>
      </c>
      <c r="B12" s="114"/>
      <c r="C12" s="115"/>
      <c r="D12" s="153" t="s">
        <v>12</v>
      </c>
      <c r="E12" s="114"/>
      <c r="F12" s="115"/>
      <c r="G12" s="153" t="s">
        <v>13</v>
      </c>
      <c r="H12" s="114"/>
      <c r="I12" s="114"/>
      <c r="J12" s="114"/>
      <c r="K12" s="114"/>
      <c r="L12" s="115"/>
      <c r="M12" s="18"/>
      <c r="N12" s="18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</row>
    <row r="13" spans="1:148">
      <c r="A13" s="173" t="s">
        <v>14</v>
      </c>
      <c r="B13" s="120"/>
      <c r="C13" s="120"/>
      <c r="D13" s="173" t="s">
        <v>15</v>
      </c>
      <c r="E13" s="120"/>
      <c r="F13" s="120"/>
      <c r="G13" s="144" t="s">
        <v>16</v>
      </c>
      <c r="H13" s="114"/>
      <c r="I13" s="114"/>
      <c r="J13" s="114"/>
      <c r="K13" s="114"/>
      <c r="L13" s="115"/>
      <c r="M13" s="25"/>
      <c r="N13" s="25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</row>
    <row r="14" spans="1:148">
      <c r="A14" s="30" t="s">
        <v>17</v>
      </c>
      <c r="B14" s="24"/>
      <c r="C14" s="31"/>
      <c r="D14" s="181"/>
      <c r="E14" s="109"/>
      <c r="F14" s="110"/>
      <c r="G14" s="169" t="s">
        <v>18</v>
      </c>
      <c r="H14" s="114"/>
      <c r="I14" s="114"/>
      <c r="J14" s="153" t="s">
        <v>19</v>
      </c>
      <c r="K14" s="114"/>
      <c r="L14" s="115"/>
      <c r="M14" s="32"/>
      <c r="N14" s="3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</row>
    <row r="15" spans="1:148">
      <c r="A15" s="33" t="s">
        <v>20</v>
      </c>
      <c r="B15" s="23"/>
      <c r="C15" s="34"/>
      <c r="D15" s="180"/>
      <c r="E15" s="120"/>
      <c r="F15" s="112"/>
      <c r="G15" s="153" t="s">
        <v>21</v>
      </c>
      <c r="H15" s="115"/>
      <c r="I15" s="36" t="s">
        <v>22</v>
      </c>
      <c r="J15" s="130" t="s">
        <v>23</v>
      </c>
      <c r="K15" s="131"/>
      <c r="L15" s="132"/>
      <c r="M15" s="32"/>
      <c r="N15" s="3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</row>
    <row r="16" spans="1:148">
      <c r="A16" s="37" t="s">
        <v>24</v>
      </c>
      <c r="B16" s="21"/>
      <c r="C16" s="38"/>
      <c r="D16" s="165"/>
      <c r="E16" s="124"/>
      <c r="F16" s="126"/>
      <c r="G16" s="164">
        <v>45748</v>
      </c>
      <c r="H16" s="115"/>
      <c r="I16" s="99">
        <v>45930</v>
      </c>
      <c r="J16" s="133"/>
      <c r="K16" s="134"/>
      <c r="L16" s="135"/>
      <c r="M16" s="32"/>
      <c r="N16" s="3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</row>
    <row r="17" spans="1:14">
      <c r="A17" s="37" t="s">
        <v>25</v>
      </c>
      <c r="B17" s="21"/>
      <c r="C17" s="21"/>
      <c r="D17" s="39"/>
      <c r="E17" s="39"/>
      <c r="F17" s="39"/>
      <c r="G17" s="42"/>
      <c r="H17" s="42"/>
      <c r="I17" s="42"/>
      <c r="J17" s="28"/>
      <c r="K17" s="28"/>
      <c r="L17" s="29"/>
      <c r="M17" s="25"/>
      <c r="N17" s="25"/>
    </row>
    <row r="18" spans="1:14" ht="25.5" customHeight="1">
      <c r="A18" s="179" t="s">
        <v>26</v>
      </c>
      <c r="B18" s="115"/>
      <c r="C18" s="182" t="s">
        <v>27</v>
      </c>
      <c r="D18" s="114"/>
      <c r="E18" s="115"/>
      <c r="F18" s="171" t="s">
        <v>28</v>
      </c>
      <c r="G18" s="115"/>
      <c r="H18" s="151" t="s">
        <v>29</v>
      </c>
      <c r="I18" s="114"/>
      <c r="J18" s="115"/>
      <c r="K18" s="151" t="s">
        <v>30</v>
      </c>
      <c r="L18" s="115"/>
      <c r="M18" s="43"/>
      <c r="N18" s="43"/>
    </row>
    <row r="19" spans="1:14">
      <c r="A19" s="113" t="s">
        <v>31</v>
      </c>
      <c r="B19" s="115"/>
      <c r="C19" s="113"/>
      <c r="D19" s="114"/>
      <c r="E19" s="115"/>
      <c r="F19" s="116"/>
      <c r="G19" s="115"/>
      <c r="H19" s="113"/>
      <c r="I19" s="114"/>
      <c r="J19" s="115"/>
      <c r="K19" s="145">
        <v>0</v>
      </c>
      <c r="L19" s="115"/>
      <c r="M19" s="45"/>
      <c r="N19" s="45"/>
    </row>
    <row r="20" spans="1:14">
      <c r="A20" s="113" t="s">
        <v>32</v>
      </c>
      <c r="B20" s="115"/>
      <c r="C20" s="113"/>
      <c r="D20" s="114"/>
      <c r="E20" s="115"/>
      <c r="F20" s="116"/>
      <c r="G20" s="115"/>
      <c r="H20" s="113"/>
      <c r="I20" s="114"/>
      <c r="J20" s="115"/>
      <c r="K20" s="145">
        <v>0</v>
      </c>
      <c r="L20" s="115"/>
      <c r="M20" s="45"/>
      <c r="N20" s="45"/>
    </row>
    <row r="21" spans="1:14">
      <c r="A21" s="113" t="s">
        <v>33</v>
      </c>
      <c r="B21" s="115"/>
      <c r="C21" s="113"/>
      <c r="D21" s="114"/>
      <c r="E21" s="115"/>
      <c r="F21" s="116"/>
      <c r="G21" s="115"/>
      <c r="H21" s="113"/>
      <c r="I21" s="114"/>
      <c r="J21" s="115"/>
      <c r="K21" s="145">
        <v>0</v>
      </c>
      <c r="L21" s="115"/>
      <c r="M21" s="45"/>
      <c r="N21" s="45"/>
    </row>
    <row r="22" spans="1:14">
      <c r="A22" s="113" t="s">
        <v>34</v>
      </c>
      <c r="B22" s="115"/>
      <c r="C22" s="113"/>
      <c r="D22" s="114"/>
      <c r="E22" s="115"/>
      <c r="F22" s="116"/>
      <c r="G22" s="115"/>
      <c r="H22" s="113"/>
      <c r="I22" s="114"/>
      <c r="J22" s="115"/>
      <c r="K22" s="145">
        <v>0</v>
      </c>
      <c r="L22" s="115"/>
      <c r="M22" s="45"/>
      <c r="N22" s="45"/>
    </row>
    <row r="23" spans="1:14">
      <c r="A23" s="153" t="s">
        <v>35</v>
      </c>
      <c r="B23" s="115"/>
      <c r="C23" s="153"/>
      <c r="D23" s="114"/>
      <c r="E23" s="115"/>
      <c r="F23" s="166">
        <v>0</v>
      </c>
      <c r="G23" s="115"/>
      <c r="H23" s="137">
        <v>0</v>
      </c>
      <c r="I23" s="114"/>
      <c r="J23" s="115"/>
      <c r="K23" s="166">
        <v>0</v>
      </c>
      <c r="L23" s="115"/>
      <c r="M23" s="46"/>
      <c r="N23" s="46"/>
    </row>
    <row r="24" spans="1:14">
      <c r="A24" s="163" t="s">
        <v>36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5"/>
      <c r="M24" s="47"/>
      <c r="N24" s="47"/>
    </row>
    <row r="25" spans="1:14">
      <c r="A25" s="48" t="s">
        <v>37</v>
      </c>
      <c r="B25" s="167" t="s">
        <v>38</v>
      </c>
      <c r="C25" s="109"/>
      <c r="D25" s="110"/>
      <c r="E25" s="178" t="s">
        <v>39</v>
      </c>
      <c r="F25" s="109"/>
      <c r="G25" s="109"/>
      <c r="H25" s="109"/>
      <c r="I25" s="109"/>
      <c r="J25" s="109"/>
      <c r="K25" s="109"/>
      <c r="L25" s="110"/>
      <c r="M25" s="45"/>
      <c r="N25" s="45"/>
    </row>
    <row r="26" spans="1:14">
      <c r="A26" s="50"/>
      <c r="B26" s="138" t="s">
        <v>40</v>
      </c>
      <c r="C26" s="120"/>
      <c r="D26" s="120"/>
      <c r="E26" s="139" t="s">
        <v>41</v>
      </c>
      <c r="F26" s="109"/>
      <c r="G26" s="140" t="s">
        <v>42</v>
      </c>
      <c r="H26" s="110"/>
      <c r="I26" s="140" t="s">
        <v>43</v>
      </c>
      <c r="J26" s="110"/>
      <c r="K26" s="156" t="s">
        <v>44</v>
      </c>
      <c r="L26" s="110"/>
      <c r="M26" s="51"/>
      <c r="N26" s="51"/>
    </row>
    <row r="27" spans="1:14">
      <c r="A27" s="50"/>
      <c r="B27" s="25"/>
      <c r="C27" s="25" t="s">
        <v>45</v>
      </c>
      <c r="D27" s="25"/>
      <c r="E27" s="152" t="s">
        <v>46</v>
      </c>
      <c r="F27" s="120"/>
      <c r="G27" s="117" t="s">
        <v>46</v>
      </c>
      <c r="H27" s="112"/>
      <c r="I27" s="117" t="s">
        <v>46</v>
      </c>
      <c r="J27" s="112"/>
      <c r="K27" s="150" t="s">
        <v>47</v>
      </c>
      <c r="L27" s="112"/>
      <c r="M27" s="51"/>
      <c r="N27" s="51"/>
    </row>
    <row r="28" spans="1:14">
      <c r="A28" s="52"/>
      <c r="B28" s="161"/>
      <c r="C28" s="124"/>
      <c r="D28" s="124"/>
      <c r="E28" s="53"/>
      <c r="F28" s="6"/>
      <c r="G28" s="125"/>
      <c r="H28" s="126"/>
      <c r="I28" s="125" t="s">
        <v>48</v>
      </c>
      <c r="J28" s="126"/>
      <c r="K28" s="27"/>
      <c r="L28" s="29"/>
      <c r="M28" s="25"/>
      <c r="N28" s="25"/>
    </row>
    <row r="29" spans="1:14">
      <c r="A29" s="36">
        <v>1</v>
      </c>
      <c r="B29" s="113"/>
      <c r="C29" s="114"/>
      <c r="D29" s="115"/>
      <c r="E29" s="116"/>
      <c r="F29" s="115"/>
      <c r="G29" s="118"/>
      <c r="H29" s="115"/>
      <c r="I29" s="118"/>
      <c r="J29" s="115"/>
      <c r="K29" s="3"/>
      <c r="L29" s="2"/>
      <c r="M29" s="25"/>
      <c r="N29" s="25"/>
    </row>
    <row r="30" spans="1:14">
      <c r="A30" s="54">
        <v>2</v>
      </c>
      <c r="B30" s="113"/>
      <c r="C30" s="114"/>
      <c r="D30" s="115"/>
      <c r="E30" s="116"/>
      <c r="F30" s="115"/>
      <c r="G30" s="118"/>
      <c r="H30" s="115"/>
      <c r="I30" s="118"/>
      <c r="J30" s="115"/>
      <c r="K30" s="3"/>
      <c r="L30" s="2"/>
      <c r="M30" s="25"/>
      <c r="N30" s="25"/>
    </row>
    <row r="31" spans="1:14">
      <c r="A31" s="54">
        <v>3</v>
      </c>
      <c r="B31" s="113"/>
      <c r="C31" s="114"/>
      <c r="D31" s="115"/>
      <c r="E31" s="5"/>
      <c r="F31" s="4"/>
      <c r="G31" s="40"/>
      <c r="H31" s="41"/>
      <c r="I31" s="40"/>
      <c r="J31" s="41"/>
      <c r="K31" s="3"/>
      <c r="L31" s="2"/>
      <c r="M31" s="25"/>
      <c r="N31" s="25"/>
    </row>
    <row r="32" spans="1:14">
      <c r="A32" s="54">
        <v>4</v>
      </c>
      <c r="B32" s="113"/>
      <c r="C32" s="114"/>
      <c r="D32" s="115"/>
      <c r="E32" s="5"/>
      <c r="F32" s="4"/>
      <c r="G32" s="40"/>
      <c r="H32" s="41"/>
      <c r="I32" s="40"/>
      <c r="J32" s="41"/>
      <c r="K32" s="3"/>
      <c r="L32" s="2"/>
      <c r="M32" s="25"/>
      <c r="N32" s="25"/>
    </row>
    <row r="33" spans="1:14">
      <c r="A33" s="54">
        <v>5</v>
      </c>
      <c r="B33" s="113"/>
      <c r="C33" s="114"/>
      <c r="D33" s="115"/>
      <c r="E33" s="5"/>
      <c r="F33" s="4"/>
      <c r="G33" s="40"/>
      <c r="H33" s="41"/>
      <c r="I33" s="40"/>
      <c r="J33" s="41"/>
      <c r="K33" s="3"/>
      <c r="L33" s="2"/>
      <c r="M33" s="25"/>
      <c r="N33" s="25"/>
    </row>
    <row r="34" spans="1:14">
      <c r="A34" s="54">
        <v>6</v>
      </c>
      <c r="B34" s="113"/>
      <c r="C34" s="114"/>
      <c r="D34" s="115"/>
      <c r="E34" s="5"/>
      <c r="F34" s="4"/>
      <c r="G34" s="40"/>
      <c r="H34" s="41"/>
      <c r="I34" s="40"/>
      <c r="J34" s="41"/>
      <c r="K34" s="3"/>
      <c r="L34" s="2"/>
      <c r="M34" s="25"/>
      <c r="N34" s="25"/>
    </row>
    <row r="35" spans="1:14">
      <c r="A35" s="54">
        <v>7</v>
      </c>
      <c r="B35" s="113"/>
      <c r="C35" s="114"/>
      <c r="D35" s="115"/>
      <c r="E35" s="5"/>
      <c r="F35" s="4"/>
      <c r="G35" s="40"/>
      <c r="H35" s="41"/>
      <c r="I35" s="40"/>
      <c r="J35" s="41"/>
      <c r="K35" s="3"/>
      <c r="L35" s="2"/>
      <c r="M35" s="25"/>
      <c r="N35" s="25"/>
    </row>
    <row r="36" spans="1:14">
      <c r="A36" s="54">
        <v>8</v>
      </c>
      <c r="B36" s="113"/>
      <c r="C36" s="114"/>
      <c r="D36" s="115"/>
      <c r="E36" s="5"/>
      <c r="F36" s="4"/>
      <c r="G36" s="40"/>
      <c r="H36" s="41"/>
      <c r="I36" s="40"/>
      <c r="J36" s="41"/>
      <c r="K36" s="3"/>
      <c r="L36" s="2"/>
      <c r="M36" s="25"/>
      <c r="N36" s="25"/>
    </row>
    <row r="37" spans="1:14">
      <c r="A37" s="54">
        <v>9</v>
      </c>
      <c r="B37" s="113"/>
      <c r="C37" s="114"/>
      <c r="D37" s="115"/>
      <c r="E37" s="116"/>
      <c r="F37" s="115"/>
      <c r="G37" s="118"/>
      <c r="H37" s="115"/>
      <c r="I37" s="118"/>
      <c r="J37" s="115"/>
      <c r="K37" s="3"/>
      <c r="L37" s="2"/>
      <c r="M37" s="25"/>
      <c r="N37" s="25"/>
    </row>
    <row r="38" spans="1:14">
      <c r="A38" s="54">
        <v>10</v>
      </c>
      <c r="B38" s="113"/>
      <c r="C38" s="114"/>
      <c r="D38" s="115"/>
      <c r="E38" s="116"/>
      <c r="F38" s="115"/>
      <c r="G38" s="118"/>
      <c r="H38" s="115"/>
      <c r="I38" s="118"/>
      <c r="J38" s="115"/>
      <c r="K38" s="3"/>
      <c r="L38" s="2"/>
      <c r="M38" s="25"/>
      <c r="N38" s="25"/>
    </row>
    <row r="39" spans="1:14">
      <c r="A39" s="54">
        <v>11</v>
      </c>
      <c r="B39" s="113"/>
      <c r="C39" s="114"/>
      <c r="D39" s="115"/>
      <c r="E39" s="116"/>
      <c r="F39" s="115"/>
      <c r="G39" s="118"/>
      <c r="H39" s="115"/>
      <c r="I39" s="118"/>
      <c r="J39" s="115"/>
      <c r="K39" s="3"/>
      <c r="L39" s="2"/>
      <c r="M39" s="25"/>
      <c r="N39" s="25"/>
    </row>
    <row r="40" spans="1:14">
      <c r="A40" s="54">
        <v>12</v>
      </c>
      <c r="B40" s="113"/>
      <c r="C40" s="114"/>
      <c r="D40" s="115"/>
      <c r="E40" s="116"/>
      <c r="F40" s="115"/>
      <c r="G40" s="118"/>
      <c r="H40" s="115"/>
      <c r="I40" s="118"/>
      <c r="J40" s="115"/>
      <c r="K40" s="3"/>
      <c r="L40" s="2"/>
      <c r="M40" s="25"/>
      <c r="N40" s="25"/>
    </row>
    <row r="41" spans="1:14">
      <c r="A41" s="52" t="s">
        <v>49</v>
      </c>
      <c r="B41" s="113">
        <v>0</v>
      </c>
      <c r="C41" s="114"/>
      <c r="D41" s="115"/>
      <c r="E41" s="116"/>
      <c r="F41" s="115"/>
      <c r="G41" s="118"/>
      <c r="H41" s="115"/>
      <c r="I41" s="118"/>
      <c r="J41" s="115"/>
      <c r="K41" s="3"/>
      <c r="L41" s="2"/>
      <c r="M41" s="25"/>
      <c r="N41" s="25"/>
    </row>
    <row r="42" spans="1:14">
      <c r="A42" s="37"/>
      <c r="B42" s="3"/>
      <c r="C42" s="3"/>
      <c r="D42" s="3"/>
      <c r="E42" s="44"/>
      <c r="F42" s="44"/>
      <c r="G42" s="55"/>
      <c r="H42" s="55"/>
      <c r="I42" s="55"/>
      <c r="J42" s="55"/>
      <c r="K42" s="3"/>
      <c r="L42" s="2"/>
      <c r="M42" s="25"/>
      <c r="N42" s="25"/>
    </row>
    <row r="43" spans="1:14">
      <c r="A43" s="163" t="s">
        <v>50</v>
      </c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5"/>
      <c r="M43" s="47"/>
      <c r="N43" s="47"/>
    </row>
    <row r="44" spans="1:14">
      <c r="A44" s="48" t="s">
        <v>37</v>
      </c>
      <c r="B44" s="167" t="s">
        <v>38</v>
      </c>
      <c r="C44" s="109"/>
      <c r="D44" s="110"/>
      <c r="E44" s="178" t="s">
        <v>51</v>
      </c>
      <c r="F44" s="109"/>
      <c r="G44" s="109"/>
      <c r="H44" s="109"/>
      <c r="I44" s="109"/>
      <c r="J44" s="109"/>
      <c r="K44" s="109"/>
      <c r="L44" s="110"/>
      <c r="M44" s="45"/>
      <c r="N44" s="45"/>
    </row>
    <row r="45" spans="1:14">
      <c r="A45" s="50"/>
      <c r="B45" s="138" t="s">
        <v>40</v>
      </c>
      <c r="C45" s="120"/>
      <c r="D45" s="120"/>
      <c r="E45" s="139" t="s">
        <v>52</v>
      </c>
      <c r="F45" s="109"/>
      <c r="G45" s="140" t="s">
        <v>53</v>
      </c>
      <c r="H45" s="110"/>
      <c r="I45" s="140" t="s">
        <v>54</v>
      </c>
      <c r="J45" s="110"/>
      <c r="K45" s="156" t="s">
        <v>44</v>
      </c>
      <c r="L45" s="110"/>
      <c r="M45" s="51"/>
      <c r="N45" s="51"/>
    </row>
    <row r="46" spans="1:14">
      <c r="A46" s="50"/>
      <c r="B46" s="25"/>
      <c r="C46" s="25" t="s">
        <v>45</v>
      </c>
      <c r="D46" s="25"/>
      <c r="E46" s="152" t="s">
        <v>55</v>
      </c>
      <c r="F46" s="120"/>
      <c r="G46" s="117" t="s">
        <v>56</v>
      </c>
      <c r="H46" s="112"/>
      <c r="I46" s="117" t="s">
        <v>57</v>
      </c>
      <c r="J46" s="112"/>
      <c r="K46" s="150" t="s">
        <v>47</v>
      </c>
      <c r="L46" s="112"/>
      <c r="M46" s="51"/>
      <c r="N46" s="51"/>
    </row>
    <row r="47" spans="1:14">
      <c r="A47" s="52"/>
      <c r="B47" s="161"/>
      <c r="C47" s="124"/>
      <c r="D47" s="124"/>
      <c r="E47" s="53"/>
      <c r="F47" s="6"/>
      <c r="G47" s="125" t="s">
        <v>48</v>
      </c>
      <c r="H47" s="126"/>
      <c r="I47" s="125"/>
      <c r="J47" s="126"/>
      <c r="K47" s="27"/>
      <c r="L47" s="29"/>
      <c r="M47" s="25"/>
      <c r="N47" s="25"/>
    </row>
    <row r="48" spans="1:14">
      <c r="A48" s="36">
        <v>1</v>
      </c>
      <c r="B48" s="113"/>
      <c r="C48" s="114"/>
      <c r="D48" s="115"/>
      <c r="E48" s="97"/>
      <c r="F48" s="4"/>
      <c r="G48" s="122"/>
      <c r="H48" s="115"/>
      <c r="I48" s="121"/>
      <c r="J48" s="115"/>
      <c r="K48" s="3"/>
      <c r="L48" s="2"/>
      <c r="M48" s="25"/>
      <c r="N48" s="25"/>
    </row>
    <row r="49" spans="1:14">
      <c r="A49" s="54">
        <v>2</v>
      </c>
      <c r="B49" s="113"/>
      <c r="C49" s="114"/>
      <c r="D49" s="115"/>
      <c r="E49" s="97"/>
      <c r="F49" s="4"/>
      <c r="G49" s="122"/>
      <c r="H49" s="115"/>
      <c r="I49" s="121"/>
      <c r="J49" s="115"/>
      <c r="K49" s="3"/>
      <c r="L49" s="2"/>
      <c r="M49" s="25"/>
      <c r="N49" s="25"/>
    </row>
    <row r="50" spans="1:14">
      <c r="A50" s="54">
        <v>3</v>
      </c>
      <c r="B50" s="113"/>
      <c r="C50" s="114"/>
      <c r="D50" s="115"/>
      <c r="E50" s="97"/>
      <c r="F50" s="4"/>
      <c r="G50" s="122"/>
      <c r="H50" s="115"/>
      <c r="I50" s="121"/>
      <c r="J50" s="115"/>
      <c r="K50" s="3"/>
      <c r="L50" s="2"/>
      <c r="M50" s="25"/>
      <c r="N50" s="25"/>
    </row>
    <row r="51" spans="1:14">
      <c r="A51" s="54">
        <v>4</v>
      </c>
      <c r="B51" s="113"/>
      <c r="C51" s="114"/>
      <c r="D51" s="115"/>
      <c r="E51" s="97"/>
      <c r="F51" s="4"/>
      <c r="G51" s="122"/>
      <c r="H51" s="115"/>
      <c r="I51" s="121"/>
      <c r="J51" s="115"/>
      <c r="K51" s="3"/>
      <c r="L51" s="2"/>
      <c r="M51" s="25"/>
      <c r="N51" s="25"/>
    </row>
    <row r="52" spans="1:14">
      <c r="A52" s="54">
        <v>5</v>
      </c>
      <c r="B52" s="113"/>
      <c r="C52" s="114"/>
      <c r="D52" s="115"/>
      <c r="E52" s="97"/>
      <c r="F52" s="4"/>
      <c r="G52" s="122"/>
      <c r="H52" s="115"/>
      <c r="I52" s="121"/>
      <c r="J52" s="115"/>
      <c r="K52" s="3"/>
      <c r="L52" s="2"/>
      <c r="M52" s="25"/>
      <c r="N52" s="25"/>
    </row>
    <row r="53" spans="1:14">
      <c r="A53" s="54">
        <v>6</v>
      </c>
      <c r="B53" s="113"/>
      <c r="C53" s="114"/>
      <c r="D53" s="115"/>
      <c r="E53" s="97"/>
      <c r="F53" s="4"/>
      <c r="G53" s="122"/>
      <c r="H53" s="115"/>
      <c r="I53" s="121"/>
      <c r="J53" s="115"/>
      <c r="K53" s="3"/>
      <c r="L53" s="2"/>
      <c r="M53" s="25"/>
      <c r="N53" s="25"/>
    </row>
    <row r="54" spans="1:14">
      <c r="A54" s="54">
        <v>7</v>
      </c>
      <c r="B54" s="113"/>
      <c r="C54" s="114"/>
      <c r="D54" s="115"/>
      <c r="E54" s="97"/>
      <c r="F54" s="4"/>
      <c r="G54" s="122"/>
      <c r="H54" s="115"/>
      <c r="I54" s="121"/>
      <c r="J54" s="115"/>
      <c r="K54" s="3"/>
      <c r="L54" s="2"/>
      <c r="M54" s="25"/>
      <c r="N54" s="25"/>
    </row>
    <row r="55" spans="1:14">
      <c r="A55" s="54">
        <v>8</v>
      </c>
      <c r="B55" s="113"/>
      <c r="C55" s="114"/>
      <c r="D55" s="115"/>
      <c r="E55" s="97"/>
      <c r="F55" s="4"/>
      <c r="G55" s="122"/>
      <c r="H55" s="115"/>
      <c r="I55" s="121"/>
      <c r="J55" s="115"/>
      <c r="K55" s="3"/>
      <c r="L55" s="2"/>
      <c r="M55" s="25"/>
      <c r="N55" s="25"/>
    </row>
    <row r="56" spans="1:14">
      <c r="A56" s="54">
        <v>9</v>
      </c>
      <c r="B56" s="113"/>
      <c r="C56" s="114"/>
      <c r="D56" s="115"/>
      <c r="E56" s="97"/>
      <c r="F56" s="4"/>
      <c r="G56" s="122"/>
      <c r="H56" s="115"/>
      <c r="I56" s="121"/>
      <c r="J56" s="115"/>
      <c r="K56" s="3"/>
      <c r="L56" s="2"/>
      <c r="M56" s="25"/>
      <c r="N56" s="25"/>
    </row>
    <row r="57" spans="1:14">
      <c r="A57" s="54">
        <v>10</v>
      </c>
      <c r="B57" s="113"/>
      <c r="C57" s="114"/>
      <c r="D57" s="115"/>
      <c r="E57" s="97"/>
      <c r="F57" s="4"/>
      <c r="G57" s="122"/>
      <c r="H57" s="115"/>
      <c r="I57" s="121"/>
      <c r="J57" s="115"/>
      <c r="K57" s="3"/>
      <c r="L57" s="2"/>
      <c r="M57" s="25"/>
      <c r="N57" s="25"/>
    </row>
    <row r="58" spans="1:14">
      <c r="A58" s="54">
        <v>11</v>
      </c>
      <c r="B58" s="113"/>
      <c r="C58" s="114"/>
      <c r="D58" s="115"/>
      <c r="E58" s="97"/>
      <c r="F58" s="4"/>
      <c r="G58" s="122"/>
      <c r="H58" s="115"/>
      <c r="I58" s="121"/>
      <c r="J58" s="115"/>
      <c r="K58" s="3"/>
      <c r="L58" s="2"/>
      <c r="M58" s="25"/>
      <c r="N58" s="25"/>
    </row>
    <row r="59" spans="1:14">
      <c r="A59" s="54">
        <v>12</v>
      </c>
      <c r="B59" s="113"/>
      <c r="C59" s="114"/>
      <c r="D59" s="115"/>
      <c r="E59" s="97"/>
      <c r="F59" s="4"/>
      <c r="G59" s="122"/>
      <c r="H59" s="115"/>
      <c r="I59" s="121"/>
      <c r="J59" s="115"/>
      <c r="K59" s="3"/>
      <c r="L59" s="2"/>
      <c r="M59" s="25"/>
      <c r="N59" s="25"/>
    </row>
    <row r="60" spans="1:14">
      <c r="A60" s="52" t="s">
        <v>49</v>
      </c>
      <c r="B60" s="153">
        <v>0</v>
      </c>
      <c r="C60" s="114"/>
      <c r="D60" s="115"/>
      <c r="E60" s="146"/>
      <c r="F60" s="115"/>
      <c r="G60" s="122"/>
      <c r="H60" s="114"/>
      <c r="I60" s="114"/>
      <c r="J60" s="114"/>
      <c r="K60" s="114"/>
      <c r="L60" s="115"/>
      <c r="M60" s="25"/>
      <c r="N60" s="25"/>
    </row>
    <row r="61" spans="1:14">
      <c r="A61" s="129" t="s">
        <v>58</v>
      </c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5"/>
      <c r="M61" s="56"/>
      <c r="N61" s="56"/>
    </row>
    <row r="62" spans="1:14">
      <c r="A62" s="88" t="s">
        <v>59</v>
      </c>
      <c r="B62" s="162" t="s">
        <v>60</v>
      </c>
      <c r="C62" s="114"/>
      <c r="D62" s="114"/>
      <c r="E62" s="89" t="s">
        <v>61</v>
      </c>
      <c r="F62" s="86"/>
      <c r="G62" s="174" t="s">
        <v>62</v>
      </c>
      <c r="H62" s="175"/>
      <c r="I62" s="175"/>
      <c r="J62" s="89" t="s">
        <v>63</v>
      </c>
      <c r="K62" s="86"/>
      <c r="L62" s="87"/>
      <c r="M62" s="1"/>
      <c r="N62" s="1"/>
    </row>
    <row r="63" spans="1:14">
      <c r="A63" s="123" t="s">
        <v>64</v>
      </c>
      <c r="B63" s="124"/>
      <c r="C63" s="124"/>
      <c r="D63" s="92" t="s">
        <v>65</v>
      </c>
      <c r="E63" s="23"/>
      <c r="F63" s="12"/>
      <c r="G63" s="12"/>
      <c r="H63" s="12"/>
      <c r="I63" s="93">
        <v>0</v>
      </c>
      <c r="J63" s="91" t="s">
        <v>66</v>
      </c>
      <c r="K63" s="12"/>
      <c r="L63" s="95"/>
      <c r="M63" s="1"/>
      <c r="N63" s="1"/>
    </row>
    <row r="64" spans="1:14">
      <c r="A64" s="143"/>
      <c r="B64" s="124"/>
      <c r="C64" s="124"/>
      <c r="D64" s="124"/>
      <c r="E64" s="124"/>
      <c r="F64" s="90" t="s">
        <v>67</v>
      </c>
      <c r="G64" s="57"/>
      <c r="H64" s="57"/>
      <c r="I64" s="57"/>
      <c r="J64" s="57"/>
      <c r="K64" s="57"/>
      <c r="L64" s="58"/>
      <c r="M64" s="57"/>
      <c r="N64" s="57"/>
    </row>
    <row r="65" spans="1:16">
      <c r="A65" s="158" t="s">
        <v>68</v>
      </c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12"/>
      <c r="M65" s="11"/>
      <c r="N65" s="11"/>
    </row>
    <row r="66" spans="1:16">
      <c r="A66" s="159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6"/>
      <c r="M66" s="11"/>
      <c r="N66" s="11"/>
    </row>
    <row r="67" spans="1:16">
      <c r="A67" s="160" t="s">
        <v>69</v>
      </c>
      <c r="B67" s="109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6">
      <c r="A68" s="136" t="s">
        <v>70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1"/>
      <c r="N68" s="11"/>
    </row>
    <row r="69" spans="1:16">
      <c r="A69" s="136" t="s">
        <v>71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1"/>
      <c r="N69" s="11"/>
    </row>
    <row r="70" spans="1:16">
      <c r="A70" s="136" t="s">
        <v>72</v>
      </c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1"/>
      <c r="N70" s="11"/>
    </row>
    <row r="71" spans="1:16">
      <c r="A71" s="136" t="s">
        <v>73</v>
      </c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1"/>
      <c r="N71" s="11"/>
    </row>
    <row r="72" spans="1:16">
      <c r="A72" s="136" t="s">
        <v>74</v>
      </c>
      <c r="B72" s="120"/>
      <c r="C72" s="120"/>
      <c r="D72" s="120"/>
      <c r="E72" s="120"/>
      <c r="F72" s="120"/>
      <c r="G72" s="120"/>
      <c r="H72" s="11"/>
      <c r="I72" s="11"/>
      <c r="J72" s="11"/>
      <c r="K72" s="11"/>
      <c r="L72" s="11"/>
      <c r="M72" s="11"/>
      <c r="N72" s="11"/>
    </row>
    <row r="73" spans="1:16">
      <c r="A73" s="136" t="s">
        <v>75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1"/>
      <c r="N73" s="11"/>
    </row>
    <row r="74" spans="1:16">
      <c r="A74" s="136" t="s">
        <v>76</v>
      </c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1"/>
      <c r="N74" s="11"/>
    </row>
    <row r="75" spans="1:16">
      <c r="A75" s="136" t="s">
        <v>77</v>
      </c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1"/>
      <c r="N75" s="11"/>
    </row>
    <row r="76" spans="1:16">
      <c r="A76" s="136" t="s">
        <v>78</v>
      </c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1"/>
      <c r="N76" s="11"/>
      <c r="P76" t="s">
        <v>79</v>
      </c>
    </row>
    <row r="77" spans="1:16">
      <c r="A77" s="168" t="s">
        <v>80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1"/>
      <c r="N77" s="11"/>
    </row>
    <row r="78" spans="1:16">
      <c r="A78" s="168" t="s">
        <v>81</v>
      </c>
      <c r="B78" s="120"/>
      <c r="C78" s="120"/>
      <c r="D78" s="120"/>
      <c r="E78" s="120"/>
      <c r="F78" s="23"/>
      <c r="G78" s="23"/>
      <c r="H78" s="23"/>
      <c r="I78" s="23"/>
      <c r="J78" s="23"/>
      <c r="K78" s="23"/>
      <c r="L78" s="23"/>
      <c r="M78" s="11"/>
      <c r="N78" s="11"/>
    </row>
    <row r="79" spans="1:16">
      <c r="A79" s="23" t="s">
        <v>82</v>
      </c>
      <c r="B79" s="23"/>
      <c r="C79" s="23"/>
      <c r="D79" s="23"/>
      <c r="E79" s="23"/>
      <c r="F79" s="11"/>
      <c r="G79" s="11"/>
      <c r="H79" s="11"/>
      <c r="I79" s="11"/>
      <c r="J79" s="11"/>
      <c r="K79" s="11"/>
      <c r="L79" s="11"/>
      <c r="M79" s="11"/>
      <c r="N79" s="11"/>
    </row>
    <row r="80" spans="1:16">
      <c r="A80" s="176" t="s">
        <v>83</v>
      </c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8"/>
      <c r="N80" s="18"/>
    </row>
    <row r="81" spans="1:14" ht="15.75" customHeight="1">
      <c r="A81" s="172" t="s">
        <v>84</v>
      </c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6"/>
      <c r="M81" s="59"/>
      <c r="N81" s="59"/>
    </row>
    <row r="82" spans="1:14">
      <c r="A82" s="60" t="s">
        <v>85</v>
      </c>
      <c r="B82" s="61"/>
      <c r="C82" s="62"/>
      <c r="D82" s="62"/>
      <c r="E82" s="62"/>
      <c r="F82" s="62"/>
      <c r="G82" s="62"/>
      <c r="H82" s="64"/>
      <c r="I82" s="63"/>
      <c r="J82" s="63"/>
      <c r="K82" s="64"/>
      <c r="L82" s="65"/>
      <c r="M82" s="7"/>
      <c r="N82" s="7"/>
    </row>
    <row r="83" spans="1:14">
      <c r="A83" s="8"/>
      <c r="B83" s="66" t="s">
        <v>86</v>
      </c>
      <c r="C83" s="66"/>
      <c r="D83" s="66"/>
      <c r="E83" s="66"/>
      <c r="F83" s="66"/>
      <c r="G83" s="7"/>
      <c r="H83" s="35"/>
      <c r="I83" s="67">
        <f>DATA!B2</f>
        <v>0</v>
      </c>
      <c r="J83" s="7"/>
      <c r="K83" s="35"/>
      <c r="L83" s="67"/>
      <c r="M83" s="7"/>
      <c r="N83" s="7"/>
    </row>
    <row r="84" spans="1:14">
      <c r="A84" s="8"/>
      <c r="B84" s="66" t="s">
        <v>87</v>
      </c>
      <c r="C84" s="66"/>
      <c r="D84" s="66"/>
      <c r="E84" s="66"/>
      <c r="F84" s="66"/>
      <c r="G84" s="7"/>
      <c r="H84" s="35"/>
      <c r="I84" s="8"/>
      <c r="J84" s="8"/>
      <c r="K84" s="35"/>
      <c r="L84" s="67"/>
      <c r="M84" s="7"/>
      <c r="N84" s="7"/>
    </row>
    <row r="85" spans="1:14">
      <c r="A85" s="8"/>
      <c r="B85" s="66" t="s">
        <v>88</v>
      </c>
      <c r="C85" s="66"/>
      <c r="D85" s="66"/>
      <c r="E85" s="66"/>
      <c r="F85" s="66"/>
      <c r="G85" s="7"/>
      <c r="H85" s="35"/>
      <c r="I85" s="67">
        <v>0</v>
      </c>
      <c r="J85" s="7"/>
      <c r="K85" s="35"/>
      <c r="L85" s="67"/>
      <c r="M85" s="7"/>
      <c r="N85" s="7"/>
    </row>
    <row r="86" spans="1:14">
      <c r="A86" s="8"/>
      <c r="B86" s="66" t="s">
        <v>89</v>
      </c>
      <c r="C86" s="66"/>
      <c r="D86" s="66"/>
      <c r="E86" s="66"/>
      <c r="F86" s="66"/>
      <c r="G86" s="7"/>
      <c r="H86" s="35"/>
      <c r="I86" s="67"/>
      <c r="J86" s="7"/>
      <c r="K86" s="35"/>
      <c r="L86" s="67"/>
      <c r="M86" s="7"/>
      <c r="N86" s="7"/>
    </row>
    <row r="87" spans="1:14">
      <c r="A87" s="8"/>
      <c r="B87" s="66" t="s">
        <v>88</v>
      </c>
      <c r="C87" s="66"/>
      <c r="D87" s="66"/>
      <c r="E87" s="66"/>
      <c r="F87" s="66"/>
      <c r="G87" s="7"/>
      <c r="H87" s="35"/>
      <c r="I87" s="67">
        <v>0</v>
      </c>
      <c r="J87" s="7"/>
      <c r="K87" s="35"/>
      <c r="L87" s="67"/>
      <c r="M87" s="7"/>
      <c r="N87" s="7"/>
    </row>
    <row r="88" spans="1:14">
      <c r="A88" s="8"/>
      <c r="B88" s="66" t="s">
        <v>90</v>
      </c>
      <c r="C88" s="66"/>
      <c r="D88" s="66"/>
      <c r="E88" s="66"/>
      <c r="F88" s="66"/>
      <c r="G88" s="7"/>
      <c r="H88" s="35"/>
      <c r="I88" s="67"/>
      <c r="J88" s="157">
        <f>I83+I85+I87</f>
        <v>0</v>
      </c>
      <c r="K88" s="112"/>
      <c r="L88" s="67"/>
      <c r="M88" s="7"/>
      <c r="N88" s="7"/>
    </row>
    <row r="89" spans="1:14">
      <c r="A89" s="8"/>
      <c r="B89" s="66" t="s">
        <v>91</v>
      </c>
      <c r="C89" s="66"/>
      <c r="D89" s="66"/>
      <c r="E89" s="66"/>
      <c r="F89" s="66"/>
      <c r="G89" s="7"/>
      <c r="H89" s="35"/>
      <c r="I89" s="67"/>
      <c r="J89" s="45">
        <v>0</v>
      </c>
      <c r="K89" s="9"/>
      <c r="L89" s="67"/>
      <c r="M89" s="7"/>
      <c r="N89" s="7"/>
    </row>
    <row r="90" spans="1:14">
      <c r="A90" s="8"/>
      <c r="B90" s="7"/>
      <c r="C90" s="7"/>
      <c r="D90" s="7"/>
      <c r="E90" s="7"/>
      <c r="F90" s="7"/>
      <c r="G90" s="7"/>
      <c r="H90" s="35"/>
      <c r="I90" s="67">
        <f>DATA!B2</f>
        <v>0</v>
      </c>
      <c r="J90" s="7"/>
      <c r="K90" s="35"/>
      <c r="L90" s="67"/>
      <c r="M90" s="7"/>
      <c r="N90" s="7"/>
    </row>
    <row r="91" spans="1:14">
      <c r="A91" s="68" t="s">
        <v>92</v>
      </c>
      <c r="B91" s="7"/>
      <c r="C91" s="7"/>
      <c r="D91" s="7"/>
      <c r="E91" s="7"/>
      <c r="F91" s="7"/>
      <c r="G91" s="7"/>
      <c r="H91" s="35"/>
      <c r="I91" s="8"/>
      <c r="J91" s="8"/>
      <c r="K91" s="35"/>
      <c r="L91" s="67"/>
      <c r="M91" s="7"/>
      <c r="N91" s="7"/>
    </row>
    <row r="92" spans="1:14">
      <c r="A92" s="148" t="s">
        <v>93</v>
      </c>
      <c r="B92" s="120"/>
      <c r="C92" s="120"/>
      <c r="D92" s="120"/>
      <c r="E92" s="120"/>
      <c r="F92" s="120"/>
      <c r="G92" s="120"/>
      <c r="H92" s="35"/>
      <c r="I92" s="67"/>
      <c r="J92" s="7"/>
      <c r="K92" s="35"/>
      <c r="L92" s="67"/>
      <c r="M92" s="7"/>
      <c r="N92" s="7"/>
    </row>
    <row r="93" spans="1:14">
      <c r="A93" s="148" t="s">
        <v>94</v>
      </c>
      <c r="B93" s="120"/>
      <c r="C93" s="120"/>
      <c r="D93" s="120"/>
      <c r="E93" s="120"/>
      <c r="F93" s="120"/>
      <c r="G93" s="120"/>
      <c r="H93" s="35"/>
      <c r="I93" s="69"/>
      <c r="J93" s="7"/>
      <c r="K93" s="35"/>
      <c r="L93" s="67"/>
      <c r="M93" s="7"/>
      <c r="N93" s="7"/>
    </row>
    <row r="94" spans="1:14">
      <c r="A94" s="68" t="s">
        <v>95</v>
      </c>
      <c r="B94" s="7"/>
      <c r="C94" s="7"/>
      <c r="D94" s="7"/>
      <c r="E94" s="7"/>
      <c r="F94" s="7"/>
      <c r="G94" s="7"/>
      <c r="H94" s="35"/>
      <c r="I94" s="8">
        <f>DATA!B3</f>
        <v>0</v>
      </c>
      <c r="J94" s="111">
        <f>J88-J93</f>
        <v>0</v>
      </c>
      <c r="K94" s="112"/>
      <c r="L94" s="67"/>
      <c r="M94" s="7"/>
      <c r="N94" s="7"/>
    </row>
    <row r="95" spans="1:14">
      <c r="A95" s="8"/>
      <c r="B95" s="7"/>
      <c r="C95" s="7"/>
      <c r="D95" s="7"/>
      <c r="E95" s="7"/>
      <c r="F95" s="7"/>
      <c r="G95" s="7"/>
      <c r="H95" s="35"/>
      <c r="I95" s="8">
        <f>50000+DATA!B3</f>
        <v>50000</v>
      </c>
      <c r="J95" s="8"/>
      <c r="K95" s="35"/>
      <c r="L95" s="67"/>
      <c r="M95" s="7"/>
      <c r="N95" s="7"/>
    </row>
    <row r="96" spans="1:14">
      <c r="A96" s="68" t="s">
        <v>96</v>
      </c>
      <c r="B96" s="7"/>
      <c r="C96" s="7"/>
      <c r="D96" s="7"/>
      <c r="E96" s="7"/>
      <c r="F96" s="7"/>
      <c r="G96" s="7"/>
      <c r="H96" s="35"/>
      <c r="I96" s="8"/>
      <c r="J96" s="8"/>
      <c r="K96" s="35"/>
      <c r="L96" s="67"/>
      <c r="M96" s="7"/>
      <c r="N96" s="7"/>
    </row>
    <row r="97" spans="1:16">
      <c r="A97" s="8"/>
      <c r="B97" s="66" t="s">
        <v>97</v>
      </c>
      <c r="C97" s="66"/>
      <c r="D97" s="66"/>
      <c r="E97" s="66"/>
      <c r="F97" s="66" t="s">
        <v>98</v>
      </c>
      <c r="G97" s="98">
        <v>50000</v>
      </c>
      <c r="H97" s="71"/>
      <c r="I97" s="8">
        <f>I90-I95</f>
        <v>-50000</v>
      </c>
      <c r="J97" s="8"/>
      <c r="K97" s="35"/>
      <c r="L97" s="67"/>
      <c r="M97" s="7"/>
      <c r="N97" s="7"/>
      <c r="P97" t="s">
        <v>157</v>
      </c>
    </row>
    <row r="98" spans="1:16">
      <c r="A98" s="8"/>
      <c r="B98" s="66" t="s">
        <v>99</v>
      </c>
      <c r="C98" s="66"/>
      <c r="D98" s="66"/>
      <c r="E98" s="66"/>
      <c r="F98" s="66" t="s">
        <v>98</v>
      </c>
      <c r="G98" s="66">
        <v>0</v>
      </c>
      <c r="H98" s="101"/>
      <c r="I98" s="8"/>
      <c r="J98" s="8"/>
      <c r="K98" s="35"/>
      <c r="L98" s="67"/>
      <c r="M98" s="7"/>
      <c r="N98" s="7"/>
    </row>
    <row r="99" spans="1:16">
      <c r="A99" s="8"/>
      <c r="B99" s="66" t="s">
        <v>100</v>
      </c>
      <c r="C99" s="66"/>
      <c r="D99" s="66"/>
      <c r="E99" s="66"/>
      <c r="F99" s="66" t="s">
        <v>98</v>
      </c>
      <c r="G99" s="107">
        <f>DATA!B3</f>
        <v>0</v>
      </c>
      <c r="H99" s="101"/>
      <c r="I99" s="8"/>
      <c r="J99" s="8"/>
      <c r="K99" s="35"/>
      <c r="L99" s="67"/>
      <c r="M99" s="7"/>
      <c r="N99" s="7"/>
    </row>
    <row r="100" spans="1:16">
      <c r="A100" s="68" t="s">
        <v>101</v>
      </c>
      <c r="B100" s="7"/>
      <c r="C100" s="7"/>
      <c r="D100" s="7"/>
      <c r="E100" s="7"/>
      <c r="F100" s="7"/>
      <c r="G100" s="7"/>
      <c r="H100" s="35"/>
      <c r="I100" s="72">
        <f>G97+G99</f>
        <v>50000</v>
      </c>
      <c r="J100" s="8"/>
      <c r="K100" s="35"/>
      <c r="L100" s="67"/>
      <c r="M100" s="7"/>
      <c r="N100" s="7"/>
    </row>
    <row r="101" spans="1:16">
      <c r="A101" s="8"/>
      <c r="B101" s="7"/>
      <c r="C101" s="7"/>
      <c r="D101" s="7"/>
      <c r="E101" s="7"/>
      <c r="F101" s="7"/>
      <c r="G101" s="7"/>
      <c r="H101" s="35"/>
      <c r="I101" s="8">
        <f>I97+DATA!B5</f>
        <v>-50000</v>
      </c>
      <c r="J101" s="8"/>
      <c r="K101" s="35"/>
      <c r="L101" s="67"/>
      <c r="M101" s="7"/>
      <c r="N101" s="7"/>
    </row>
    <row r="102" spans="1:16">
      <c r="A102" s="68" t="s">
        <v>102</v>
      </c>
      <c r="B102" s="7"/>
      <c r="C102" s="7"/>
      <c r="D102" s="7"/>
      <c r="E102" s="7"/>
      <c r="F102" s="7"/>
      <c r="G102" s="7"/>
      <c r="H102" s="35"/>
      <c r="I102" s="8"/>
      <c r="J102" s="8"/>
      <c r="K102" s="7"/>
      <c r="L102" s="67">
        <f>J94-I100</f>
        <v>-50000</v>
      </c>
      <c r="M102" s="7"/>
      <c r="N102" s="7"/>
    </row>
    <row r="103" spans="1:16">
      <c r="A103" s="68"/>
      <c r="B103" s="7"/>
      <c r="C103" s="7"/>
      <c r="D103" s="7"/>
      <c r="E103" s="7"/>
      <c r="F103" s="7"/>
      <c r="G103" s="7"/>
      <c r="H103" s="35"/>
      <c r="I103" s="8"/>
      <c r="J103" s="8"/>
      <c r="K103" s="7"/>
      <c r="L103" s="67"/>
      <c r="M103" s="7"/>
      <c r="N103" s="7"/>
    </row>
    <row r="104" spans="1:16">
      <c r="A104" s="68" t="s">
        <v>103</v>
      </c>
      <c r="B104" s="7"/>
      <c r="C104" s="7"/>
      <c r="D104" s="7"/>
      <c r="E104" s="7"/>
      <c r="F104" s="7"/>
      <c r="G104" s="7"/>
      <c r="H104" s="35"/>
      <c r="I104" s="8"/>
      <c r="J104" s="8"/>
      <c r="K104" s="7"/>
      <c r="L104" s="13">
        <v>0</v>
      </c>
      <c r="M104" s="45"/>
      <c r="N104" s="45"/>
    </row>
    <row r="105" spans="1:16">
      <c r="A105" s="68"/>
      <c r="B105" s="7" t="s">
        <v>104</v>
      </c>
      <c r="C105" s="7"/>
      <c r="D105" s="7"/>
      <c r="E105" s="7"/>
      <c r="F105" s="7"/>
      <c r="G105" s="7"/>
      <c r="H105" s="35"/>
      <c r="I105" s="8"/>
      <c r="J105" s="8"/>
      <c r="K105" s="7"/>
      <c r="L105" s="13">
        <v>0</v>
      </c>
      <c r="M105" s="45"/>
      <c r="N105" s="45"/>
    </row>
    <row r="106" spans="1:16">
      <c r="A106" s="68"/>
      <c r="B106" s="7"/>
      <c r="C106" s="7"/>
      <c r="D106" s="7"/>
      <c r="E106" s="7"/>
      <c r="F106" s="7"/>
      <c r="G106" s="7"/>
      <c r="H106" s="35"/>
      <c r="I106" s="8"/>
      <c r="J106" s="8"/>
      <c r="K106" s="7"/>
      <c r="L106" s="13"/>
      <c r="M106" s="45"/>
      <c r="N106" s="45"/>
    </row>
    <row r="107" spans="1:16">
      <c r="A107" s="102" t="s">
        <v>105</v>
      </c>
      <c r="B107" s="39"/>
      <c r="C107" s="39"/>
      <c r="D107" s="39"/>
      <c r="E107" s="39"/>
      <c r="F107" s="39"/>
      <c r="G107" s="39"/>
      <c r="H107" s="81"/>
      <c r="I107" s="8"/>
      <c r="J107" s="8"/>
      <c r="K107" s="35"/>
      <c r="L107" s="73">
        <f>L102+L105</f>
        <v>-50000</v>
      </c>
      <c r="M107" s="7"/>
      <c r="N107" s="7"/>
    </row>
    <row r="108" spans="1:16">
      <c r="A108" s="60"/>
      <c r="B108" s="62"/>
      <c r="C108" s="62"/>
      <c r="D108" s="62"/>
      <c r="E108" s="62"/>
      <c r="F108" s="64"/>
      <c r="G108" s="63"/>
      <c r="H108" s="64"/>
      <c r="I108" s="62"/>
      <c r="J108" s="64"/>
      <c r="K108" s="62"/>
      <c r="L108" s="64"/>
      <c r="M108" s="7"/>
      <c r="N108" s="7"/>
    </row>
    <row r="109" spans="1:16">
      <c r="A109" s="155" t="s">
        <v>106</v>
      </c>
      <c r="B109" s="120"/>
      <c r="C109" s="120"/>
      <c r="D109" s="120"/>
      <c r="E109" s="7"/>
      <c r="F109" s="35"/>
      <c r="G109" s="8"/>
      <c r="H109" s="35"/>
      <c r="I109" s="7"/>
      <c r="J109" s="35"/>
      <c r="K109" s="7"/>
      <c r="L109" s="35"/>
      <c r="M109" s="7"/>
      <c r="N109" s="7"/>
    </row>
    <row r="110" spans="1:16">
      <c r="A110" s="74" t="s">
        <v>107</v>
      </c>
      <c r="B110" s="7" t="s">
        <v>108</v>
      </c>
      <c r="C110" s="7"/>
      <c r="D110" s="7"/>
      <c r="E110" s="7"/>
      <c r="F110" s="103"/>
      <c r="G110" s="68" t="s">
        <v>109</v>
      </c>
      <c r="H110" s="70"/>
      <c r="I110" s="183" t="s">
        <v>110</v>
      </c>
      <c r="J110" s="112"/>
      <c r="K110" s="68" t="s">
        <v>111</v>
      </c>
      <c r="L110" s="73" t="s">
        <v>112</v>
      </c>
      <c r="M110" s="7"/>
      <c r="N110" s="7"/>
    </row>
    <row r="111" spans="1:16">
      <c r="A111" s="100" t="s">
        <v>113</v>
      </c>
      <c r="B111" s="7" t="s">
        <v>114</v>
      </c>
      <c r="C111" s="7"/>
      <c r="D111" s="7"/>
      <c r="E111" s="7"/>
      <c r="F111" s="35"/>
      <c r="G111" s="111"/>
      <c r="H111" s="112"/>
      <c r="I111" s="111"/>
      <c r="J111" s="112"/>
      <c r="K111" s="111"/>
      <c r="L111" s="112"/>
      <c r="M111" s="45"/>
      <c r="N111" s="45"/>
    </row>
    <row r="112" spans="1:16">
      <c r="A112" s="100"/>
      <c r="B112" s="7" t="s">
        <v>115</v>
      </c>
      <c r="C112" s="141" t="s">
        <v>116</v>
      </c>
      <c r="D112" s="142"/>
      <c r="E112" s="142"/>
      <c r="F112" s="35" t="s">
        <v>98</v>
      </c>
      <c r="G112" s="111">
        <f>DATA!B4</f>
        <v>0</v>
      </c>
      <c r="H112" s="112"/>
      <c r="I112" s="111">
        <f>G112</f>
        <v>0</v>
      </c>
      <c r="J112" s="112"/>
      <c r="K112" s="111">
        <f>G112</f>
        <v>0</v>
      </c>
      <c r="L112" s="112"/>
      <c r="M112" s="45"/>
      <c r="N112" s="45"/>
      <c r="P112" t="s">
        <v>117</v>
      </c>
    </row>
    <row r="113" spans="1:14">
      <c r="A113" s="100"/>
      <c r="B113" s="7" t="s">
        <v>118</v>
      </c>
      <c r="C113" s="141"/>
      <c r="D113" s="142"/>
      <c r="E113" s="142"/>
      <c r="F113" s="35" t="s">
        <v>98</v>
      </c>
      <c r="G113" s="111">
        <v>0</v>
      </c>
      <c r="H113" s="112"/>
      <c r="I113" s="111">
        <v>0</v>
      </c>
      <c r="J113" s="112"/>
      <c r="K113" s="111">
        <v>0</v>
      </c>
      <c r="L113" s="112"/>
      <c r="M113" s="45"/>
      <c r="N113" s="45"/>
    </row>
    <row r="114" spans="1:14">
      <c r="A114" s="100"/>
      <c r="B114" s="7" t="s">
        <v>119</v>
      </c>
      <c r="C114" s="141"/>
      <c r="D114" s="142"/>
      <c r="E114" s="142"/>
      <c r="F114" s="35" t="s">
        <v>98</v>
      </c>
      <c r="G114" s="111">
        <v>0</v>
      </c>
      <c r="H114" s="112"/>
      <c r="I114" s="111">
        <v>0</v>
      </c>
      <c r="J114" s="112"/>
      <c r="K114" s="111">
        <v>0</v>
      </c>
      <c r="L114" s="112"/>
      <c r="M114" s="45"/>
      <c r="N114" s="45"/>
    </row>
    <row r="115" spans="1:14">
      <c r="A115" s="100" t="s">
        <v>120</v>
      </c>
      <c r="B115" s="7" t="s">
        <v>121</v>
      </c>
      <c r="C115" s="7"/>
      <c r="D115" s="7"/>
      <c r="E115" s="7"/>
      <c r="F115" s="35" t="s">
        <v>98</v>
      </c>
      <c r="G115" s="111">
        <v>0</v>
      </c>
      <c r="H115" s="112"/>
      <c r="I115" s="111">
        <v>0</v>
      </c>
      <c r="J115" s="112"/>
      <c r="K115" s="111">
        <v>0</v>
      </c>
      <c r="L115" s="112"/>
      <c r="M115" s="45"/>
      <c r="N115" s="45"/>
    </row>
    <row r="116" spans="1:14">
      <c r="A116" s="100" t="s">
        <v>122</v>
      </c>
      <c r="B116" s="7" t="s">
        <v>123</v>
      </c>
      <c r="C116" s="7"/>
      <c r="D116" s="7"/>
      <c r="E116" s="7"/>
      <c r="F116" s="35" t="s">
        <v>98</v>
      </c>
      <c r="G116" s="111">
        <v>0</v>
      </c>
      <c r="H116" s="112"/>
      <c r="I116" s="111">
        <v>0</v>
      </c>
      <c r="J116" s="112"/>
      <c r="K116" s="111">
        <v>0</v>
      </c>
      <c r="L116" s="112"/>
      <c r="M116" s="45"/>
      <c r="N116" s="45"/>
    </row>
    <row r="117" spans="1:14">
      <c r="A117" s="68" t="s">
        <v>124</v>
      </c>
      <c r="B117" s="7"/>
      <c r="C117" s="7"/>
      <c r="D117" s="7"/>
      <c r="E117" s="7"/>
      <c r="F117" s="35"/>
      <c r="G117" s="10"/>
      <c r="H117" s="9"/>
      <c r="I117" s="45"/>
      <c r="J117" s="9"/>
      <c r="K117" s="45"/>
      <c r="L117" s="106">
        <f>K112+K113+K114+K115+K116</f>
        <v>0</v>
      </c>
      <c r="M117" s="7"/>
      <c r="N117" s="7"/>
    </row>
    <row r="118" spans="1:14">
      <c r="A118" s="68" t="s">
        <v>125</v>
      </c>
      <c r="B118" s="7"/>
      <c r="C118" s="7"/>
      <c r="D118" s="7"/>
      <c r="E118" s="7"/>
      <c r="F118" s="35"/>
      <c r="G118" s="10"/>
      <c r="H118" s="9"/>
      <c r="I118" s="45">
        <f>DATA!B4</f>
        <v>0</v>
      </c>
      <c r="J118" s="9"/>
      <c r="K118" s="45"/>
      <c r="L118" s="35"/>
      <c r="M118" s="7"/>
      <c r="N118" s="7"/>
    </row>
    <row r="119" spans="1:14">
      <c r="A119" s="68"/>
      <c r="B119" s="7"/>
      <c r="C119" s="7"/>
      <c r="D119" s="7"/>
      <c r="E119" s="7"/>
      <c r="F119" s="35"/>
      <c r="G119" s="10"/>
      <c r="H119" s="9"/>
      <c r="I119" s="45"/>
      <c r="J119" s="9"/>
      <c r="K119" s="45"/>
      <c r="L119" s="35"/>
      <c r="M119" s="7"/>
      <c r="N119" s="7"/>
    </row>
    <row r="120" spans="1:14">
      <c r="A120" s="104" t="s">
        <v>126</v>
      </c>
      <c r="B120" s="39" t="s">
        <v>127</v>
      </c>
      <c r="C120" s="39"/>
      <c r="D120" s="39"/>
      <c r="E120" s="39"/>
      <c r="F120" s="81" t="s">
        <v>98</v>
      </c>
      <c r="G120" s="111">
        <v>0</v>
      </c>
      <c r="H120" s="112"/>
      <c r="I120" s="111">
        <v>0</v>
      </c>
      <c r="J120" s="112"/>
      <c r="K120" s="127">
        <v>0</v>
      </c>
      <c r="L120" s="128"/>
      <c r="M120" s="45"/>
      <c r="N120" s="45"/>
    </row>
    <row r="121" spans="1:14">
      <c r="A121" s="76"/>
      <c r="B121" s="77"/>
      <c r="C121" s="77"/>
      <c r="D121" s="77"/>
      <c r="E121" s="77"/>
      <c r="F121" s="77"/>
      <c r="G121" s="44"/>
      <c r="H121" s="44"/>
      <c r="I121" s="44"/>
      <c r="J121" s="44"/>
      <c r="K121" s="44"/>
      <c r="L121" s="4"/>
      <c r="M121" s="45"/>
      <c r="N121" s="45"/>
    </row>
    <row r="122" spans="1:14">
      <c r="A122" s="105" t="s">
        <v>128</v>
      </c>
      <c r="B122" s="62" t="s">
        <v>129</v>
      </c>
      <c r="C122" s="62"/>
      <c r="D122" s="62"/>
      <c r="E122" s="62"/>
      <c r="F122" s="64"/>
      <c r="G122" s="10"/>
      <c r="H122" s="45"/>
      <c r="I122" s="10"/>
      <c r="J122" s="49"/>
      <c r="K122" s="45"/>
      <c r="L122" s="9"/>
      <c r="M122" s="45"/>
      <c r="N122" s="45"/>
    </row>
    <row r="123" spans="1:14">
      <c r="A123" s="74"/>
      <c r="B123" s="7"/>
      <c r="C123" s="7"/>
      <c r="D123" s="7"/>
      <c r="E123" s="7"/>
      <c r="F123" s="35"/>
      <c r="G123" s="68" t="s">
        <v>109</v>
      </c>
      <c r="H123" s="70"/>
      <c r="I123" s="183" t="s">
        <v>110</v>
      </c>
      <c r="J123" s="112"/>
      <c r="K123" s="68" t="s">
        <v>111</v>
      </c>
      <c r="L123" s="73" t="s">
        <v>112</v>
      </c>
      <c r="M123" s="45"/>
      <c r="N123" s="45"/>
    </row>
    <row r="124" spans="1:14">
      <c r="A124" s="74"/>
      <c r="B124" s="7" t="s">
        <v>115</v>
      </c>
      <c r="C124" s="141"/>
      <c r="D124" s="142"/>
      <c r="E124" s="142"/>
      <c r="F124" s="35" t="s">
        <v>98</v>
      </c>
      <c r="G124" s="111">
        <v>0</v>
      </c>
      <c r="H124" s="112"/>
      <c r="I124" s="111">
        <v>0</v>
      </c>
      <c r="J124" s="112"/>
      <c r="K124" s="111">
        <v>0</v>
      </c>
      <c r="L124" s="112"/>
      <c r="M124" s="45"/>
      <c r="N124" s="45"/>
    </row>
    <row r="125" spans="1:14">
      <c r="A125" s="74"/>
      <c r="B125" s="7" t="s">
        <v>118</v>
      </c>
      <c r="C125" s="141"/>
      <c r="D125" s="142"/>
      <c r="E125" s="142"/>
      <c r="F125" s="35" t="s">
        <v>98</v>
      </c>
      <c r="G125" s="111">
        <v>0</v>
      </c>
      <c r="H125" s="112"/>
      <c r="I125" s="111">
        <f>I101-I118</f>
        <v>-50000</v>
      </c>
      <c r="J125" s="112"/>
      <c r="K125" s="111">
        <v>0</v>
      </c>
      <c r="L125" s="112"/>
      <c r="M125" s="45"/>
      <c r="N125" s="45"/>
    </row>
    <row r="126" spans="1:14">
      <c r="A126" s="74"/>
      <c r="B126" s="7" t="s">
        <v>119</v>
      </c>
      <c r="C126" s="141"/>
      <c r="D126" s="142"/>
      <c r="E126" s="142"/>
      <c r="F126" s="35" t="s">
        <v>98</v>
      </c>
      <c r="G126" s="111">
        <v>0</v>
      </c>
      <c r="H126" s="112"/>
      <c r="I126" s="111">
        <v>0</v>
      </c>
      <c r="J126" s="112"/>
      <c r="K126" s="111">
        <v>0</v>
      </c>
      <c r="L126" s="112"/>
      <c r="M126" s="45"/>
      <c r="N126" s="45"/>
    </row>
    <row r="127" spans="1:14">
      <c r="A127" s="78" t="s">
        <v>130</v>
      </c>
      <c r="B127" s="7"/>
      <c r="C127" s="7"/>
      <c r="D127" s="7"/>
      <c r="E127" s="7"/>
      <c r="F127" s="35"/>
      <c r="G127" s="111"/>
      <c r="H127" s="112"/>
      <c r="I127" s="111"/>
      <c r="J127" s="112"/>
      <c r="K127" s="127">
        <v>0</v>
      </c>
      <c r="L127" s="128"/>
      <c r="M127" s="45"/>
      <c r="N127" s="45"/>
    </row>
    <row r="128" spans="1:14">
      <c r="A128" s="68"/>
      <c r="B128" s="7"/>
      <c r="C128" s="7"/>
      <c r="D128" s="7"/>
      <c r="E128" s="7"/>
      <c r="F128" s="35"/>
      <c r="G128" s="8"/>
      <c r="H128" s="35"/>
      <c r="I128" s="8">
        <f>DATA!B6</f>
        <v>0</v>
      </c>
      <c r="J128" s="35"/>
      <c r="K128" s="111"/>
      <c r="L128" s="112"/>
      <c r="M128" s="45"/>
      <c r="N128" s="45"/>
    </row>
    <row r="129" spans="1:15">
      <c r="A129" s="68" t="s">
        <v>131</v>
      </c>
      <c r="B129" s="7"/>
      <c r="C129" s="7"/>
      <c r="D129" s="7"/>
      <c r="E129" s="7"/>
      <c r="F129" s="35"/>
      <c r="G129" s="8"/>
      <c r="H129" s="35"/>
      <c r="I129" s="8"/>
      <c r="J129" s="35"/>
      <c r="K129" s="7"/>
      <c r="L129" s="14">
        <f>L107-K127</f>
        <v>-50000</v>
      </c>
      <c r="M129" s="7"/>
      <c r="N129" s="7"/>
      <c r="O129" s="23"/>
    </row>
    <row r="130" spans="1:15">
      <c r="A130" s="68"/>
      <c r="B130" s="7"/>
      <c r="C130" s="7"/>
      <c r="D130" s="7"/>
      <c r="E130" s="7"/>
      <c r="F130" s="35"/>
      <c r="G130" s="8"/>
      <c r="H130" s="35"/>
      <c r="I130" s="8"/>
      <c r="J130" s="35"/>
      <c r="K130" s="7"/>
      <c r="L130" s="13"/>
      <c r="M130" s="7"/>
      <c r="N130" s="7"/>
      <c r="O130" s="23"/>
    </row>
    <row r="131" spans="1:15">
      <c r="A131" s="68" t="s">
        <v>132</v>
      </c>
      <c r="B131" s="7"/>
      <c r="C131" s="7"/>
      <c r="D131" s="7"/>
      <c r="E131" s="7"/>
      <c r="F131" s="35"/>
      <c r="G131" s="8"/>
      <c r="H131" s="35"/>
      <c r="I131" s="8">
        <f>I128*0.04</f>
        <v>0</v>
      </c>
      <c r="J131" s="35"/>
      <c r="K131" s="7"/>
      <c r="L131" s="94">
        <v>0</v>
      </c>
      <c r="M131" s="79"/>
      <c r="N131" s="79"/>
      <c r="O131" s="23"/>
    </row>
    <row r="132" spans="1:15">
      <c r="A132" s="80" t="s">
        <v>133</v>
      </c>
      <c r="B132" s="7"/>
      <c r="C132" s="7"/>
      <c r="D132" s="7"/>
      <c r="E132" s="7"/>
      <c r="F132" s="35"/>
      <c r="G132" s="8"/>
      <c r="H132" s="35"/>
      <c r="I132" s="7">
        <f>I128+I131</f>
        <v>0</v>
      </c>
      <c r="J132" s="7"/>
      <c r="K132" s="7"/>
      <c r="L132" s="14">
        <v>0</v>
      </c>
      <c r="M132" s="7"/>
      <c r="N132" s="7"/>
      <c r="O132" s="23"/>
    </row>
    <row r="133" spans="1:15">
      <c r="A133" s="68" t="s">
        <v>134</v>
      </c>
      <c r="B133" s="7"/>
      <c r="C133" s="7"/>
      <c r="D133" s="7"/>
      <c r="E133" s="7"/>
      <c r="F133" s="35"/>
      <c r="G133" s="8"/>
      <c r="H133" s="35"/>
      <c r="I133" s="7"/>
      <c r="J133" s="7"/>
      <c r="K133" s="7"/>
      <c r="L133" s="15">
        <v>0</v>
      </c>
      <c r="M133" s="7"/>
      <c r="N133" s="7"/>
      <c r="O133" s="23"/>
    </row>
    <row r="134" spans="1:15">
      <c r="A134" s="68" t="s">
        <v>135</v>
      </c>
      <c r="B134" s="7"/>
      <c r="C134" s="7"/>
      <c r="D134" s="7"/>
      <c r="E134" s="7"/>
      <c r="F134" s="35"/>
      <c r="G134" s="8"/>
      <c r="H134" s="35"/>
      <c r="I134" s="7"/>
      <c r="J134" s="7"/>
      <c r="K134" s="7"/>
      <c r="L134" s="15">
        <v>0</v>
      </c>
      <c r="M134" s="7"/>
      <c r="N134" s="7"/>
      <c r="O134" s="23"/>
    </row>
    <row r="135" spans="1:15">
      <c r="A135" s="68" t="s">
        <v>136</v>
      </c>
      <c r="B135" s="7"/>
      <c r="C135" s="7"/>
      <c r="D135" s="7"/>
      <c r="E135" s="7"/>
      <c r="F135" s="35"/>
      <c r="G135" s="8"/>
      <c r="H135" s="35"/>
      <c r="I135" s="7">
        <f>DATA!B6</f>
        <v>0</v>
      </c>
      <c r="J135" s="7"/>
      <c r="K135" s="7"/>
      <c r="L135" s="15">
        <v>0</v>
      </c>
      <c r="M135" s="7"/>
      <c r="N135" s="7"/>
      <c r="O135" s="23"/>
    </row>
    <row r="136" spans="1:15">
      <c r="A136" s="68" t="s">
        <v>137</v>
      </c>
      <c r="B136" s="7"/>
      <c r="C136" s="7"/>
      <c r="D136" s="7"/>
      <c r="E136" s="7"/>
      <c r="F136" s="35"/>
      <c r="G136" s="8"/>
      <c r="H136" s="35"/>
      <c r="I136" s="7">
        <f>I132-I135</f>
        <v>0</v>
      </c>
      <c r="J136" s="7"/>
      <c r="K136" s="7"/>
      <c r="L136" s="67">
        <v>0</v>
      </c>
      <c r="M136" s="7"/>
      <c r="N136" s="7"/>
      <c r="O136" s="23"/>
    </row>
    <row r="137" spans="1:15">
      <c r="A137" s="68" t="s">
        <v>138</v>
      </c>
      <c r="B137" s="7"/>
      <c r="C137" s="7"/>
      <c r="D137" s="7"/>
      <c r="E137" s="7"/>
      <c r="F137" s="35"/>
      <c r="G137" s="8"/>
      <c r="H137" s="35"/>
      <c r="I137" s="7"/>
      <c r="J137" s="7"/>
      <c r="K137" s="7"/>
      <c r="L137" s="15">
        <v>0</v>
      </c>
      <c r="M137" s="7"/>
      <c r="N137" s="7"/>
      <c r="O137" s="23"/>
    </row>
    <row r="138" spans="1:15">
      <c r="A138" s="68" t="s">
        <v>139</v>
      </c>
      <c r="B138" s="7"/>
      <c r="C138" s="7"/>
      <c r="D138" s="7"/>
      <c r="E138" s="7"/>
      <c r="F138" s="35"/>
      <c r="G138" s="8"/>
      <c r="H138" s="35"/>
      <c r="I138" s="7"/>
      <c r="J138" s="7"/>
      <c r="K138" s="7"/>
      <c r="L138" s="67">
        <v>0</v>
      </c>
      <c r="M138" s="7"/>
      <c r="N138" s="7"/>
      <c r="O138" s="23"/>
    </row>
    <row r="139" spans="1:15">
      <c r="A139" s="102" t="s">
        <v>140</v>
      </c>
      <c r="B139" s="39"/>
      <c r="C139" s="39"/>
      <c r="D139" s="39"/>
      <c r="E139" s="39"/>
      <c r="F139" s="81"/>
      <c r="G139" s="8"/>
      <c r="H139" s="35"/>
      <c r="I139" s="7"/>
      <c r="J139" s="7"/>
      <c r="K139" s="7"/>
      <c r="L139" s="15">
        <v>0</v>
      </c>
      <c r="M139" s="7"/>
      <c r="N139" s="7"/>
      <c r="O139" s="23"/>
    </row>
    <row r="140" spans="1:15">
      <c r="A140" s="129" t="s">
        <v>58</v>
      </c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5"/>
      <c r="M140" s="7"/>
      <c r="N140" s="7"/>
      <c r="O140" s="23"/>
    </row>
    <row r="141" spans="1:15">
      <c r="A141" s="88" t="s">
        <v>59</v>
      </c>
      <c r="B141" s="162" t="s">
        <v>60</v>
      </c>
      <c r="C141" s="114"/>
      <c r="D141" s="114"/>
      <c r="E141" s="89" t="s">
        <v>61</v>
      </c>
      <c r="F141" s="86"/>
      <c r="G141" s="174" t="s">
        <v>62</v>
      </c>
      <c r="H141" s="175"/>
      <c r="I141" s="175"/>
      <c r="J141" s="89" t="s">
        <v>63</v>
      </c>
      <c r="K141" s="86"/>
      <c r="L141" s="87"/>
      <c r="M141" s="1"/>
      <c r="N141" s="1"/>
      <c r="O141" s="23"/>
    </row>
    <row r="142" spans="1:15">
      <c r="A142" s="123" t="s">
        <v>64</v>
      </c>
      <c r="B142" s="124"/>
      <c r="C142" s="124"/>
      <c r="D142" s="92" t="s">
        <v>141</v>
      </c>
      <c r="E142" s="23"/>
      <c r="F142" s="12"/>
      <c r="G142" s="12"/>
      <c r="H142" s="12"/>
      <c r="I142" s="92"/>
      <c r="J142" s="91"/>
      <c r="K142" s="12"/>
      <c r="L142" s="96"/>
      <c r="M142" s="1"/>
      <c r="N142" s="1"/>
      <c r="O142" s="23"/>
    </row>
    <row r="143" spans="1:15">
      <c r="A143" s="119" t="s">
        <v>142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12"/>
      <c r="M143" s="7"/>
      <c r="N143" s="7"/>
      <c r="O143" s="23"/>
    </row>
    <row r="144" spans="1:15">
      <c r="A144" s="83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5"/>
      <c r="M144" s="7"/>
      <c r="N144" s="7"/>
      <c r="O144" s="23"/>
    </row>
    <row r="145" spans="1:14">
      <c r="A145" s="8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35"/>
      <c r="M145" s="7"/>
      <c r="N145" s="7"/>
    </row>
    <row r="146" spans="1:14">
      <c r="A146" s="8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35"/>
      <c r="M146" s="7"/>
      <c r="N146" s="7"/>
    </row>
    <row r="147" spans="1:14">
      <c r="A147" s="8"/>
      <c r="B147" s="7"/>
      <c r="C147" s="7"/>
      <c r="D147" s="7"/>
      <c r="E147" s="7"/>
      <c r="F147" s="7"/>
      <c r="G147" s="23"/>
      <c r="H147" s="23"/>
      <c r="I147" s="70"/>
      <c r="J147" s="7"/>
      <c r="K147" s="7"/>
      <c r="L147" s="35"/>
      <c r="M147" s="7"/>
      <c r="N147" s="7"/>
    </row>
    <row r="148" spans="1:14">
      <c r="A148" s="8"/>
      <c r="B148" s="7"/>
      <c r="C148" s="7"/>
      <c r="D148" s="7"/>
      <c r="E148" s="7"/>
      <c r="F148" s="154" t="s">
        <v>143</v>
      </c>
      <c r="G148" s="120"/>
      <c r="H148" s="120"/>
      <c r="I148" s="120"/>
      <c r="J148" s="120"/>
      <c r="K148" s="120"/>
      <c r="L148" s="112"/>
      <c r="M148" s="1"/>
      <c r="N148" s="1"/>
    </row>
    <row r="149" spans="1:14">
      <c r="A149" s="8"/>
      <c r="B149" s="7"/>
      <c r="C149" s="7"/>
      <c r="D149" s="7"/>
      <c r="E149" s="7"/>
      <c r="F149" s="154" t="s">
        <v>144</v>
      </c>
      <c r="G149" s="120"/>
      <c r="H149" s="120"/>
      <c r="I149" s="120"/>
      <c r="J149" s="120"/>
      <c r="K149" s="120"/>
      <c r="L149" s="112"/>
      <c r="M149" s="1"/>
      <c r="N149" s="1"/>
    </row>
    <row r="150" spans="1:14">
      <c r="A150" s="148" t="s">
        <v>145</v>
      </c>
      <c r="B150" s="120"/>
      <c r="C150" s="120"/>
      <c r="D150" s="7"/>
      <c r="E150" s="7"/>
      <c r="F150" s="154" t="s">
        <v>146</v>
      </c>
      <c r="G150" s="120"/>
      <c r="H150" s="120"/>
      <c r="I150" s="120"/>
      <c r="J150" s="120"/>
      <c r="K150" s="120"/>
      <c r="L150" s="112"/>
      <c r="M150" s="1"/>
      <c r="N150" s="1"/>
    </row>
    <row r="151" spans="1:14">
      <c r="A151" s="148" t="s">
        <v>147</v>
      </c>
      <c r="B151" s="120"/>
      <c r="C151" s="120"/>
      <c r="D151" s="7"/>
      <c r="E151" s="7"/>
      <c r="F151" s="157" t="s">
        <v>148</v>
      </c>
      <c r="G151" s="120"/>
      <c r="H151" s="120"/>
      <c r="I151" s="120"/>
      <c r="J151" s="120"/>
      <c r="K151" s="120"/>
      <c r="L151" s="112"/>
      <c r="M151" s="75"/>
      <c r="N151" s="75"/>
    </row>
    <row r="152" spans="1:14">
      <c r="A152" s="72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81"/>
      <c r="M152" s="7"/>
      <c r="N152" s="7"/>
    </row>
    <row r="153" spans="1:14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</row>
    <row r="154" spans="1:14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</row>
    <row r="155" spans="1:14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</row>
    <row r="156" spans="1:14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</row>
    <row r="157" spans="1:14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</row>
    <row r="158" spans="1:14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</row>
    <row r="159" spans="1:14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</row>
    <row r="160" spans="1:14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</row>
    <row r="161" spans="1:14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</row>
    <row r="162" spans="1:14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</row>
    <row r="163" spans="1:14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</row>
    <row r="164" spans="1:14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</row>
    <row r="165" spans="1:14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</row>
    <row r="166" spans="1:14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</row>
    <row r="167" spans="1:14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</row>
    <row r="168" spans="1:14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</row>
  </sheetData>
  <mergeCells count="240">
    <mergeCell ref="F148:L148"/>
    <mergeCell ref="G57:H57"/>
    <mergeCell ref="D12:F12"/>
    <mergeCell ref="B30:D30"/>
    <mergeCell ref="I58:J58"/>
    <mergeCell ref="D14:F14"/>
    <mergeCell ref="A63:C63"/>
    <mergeCell ref="K115:L115"/>
    <mergeCell ref="F23:G23"/>
    <mergeCell ref="E27:F27"/>
    <mergeCell ref="G58:H58"/>
    <mergeCell ref="C18:E18"/>
    <mergeCell ref="G114:H114"/>
    <mergeCell ref="B62:D62"/>
    <mergeCell ref="I52:J52"/>
    <mergeCell ref="I123:J123"/>
    <mergeCell ref="A77:L77"/>
    <mergeCell ref="B54:D54"/>
    <mergeCell ref="A22:B22"/>
    <mergeCell ref="I110:J110"/>
    <mergeCell ref="G113:H113"/>
    <mergeCell ref="C126:E126"/>
    <mergeCell ref="B60:D60"/>
    <mergeCell ref="B57:D57"/>
    <mergeCell ref="K116:L116"/>
    <mergeCell ref="B56:D56"/>
    <mergeCell ref="G8:L8"/>
    <mergeCell ref="C113:E113"/>
    <mergeCell ref="C20:E20"/>
    <mergeCell ref="A69:L69"/>
    <mergeCell ref="A7:F7"/>
    <mergeCell ref="H21:J21"/>
    <mergeCell ref="A9:F9"/>
    <mergeCell ref="K27:L27"/>
    <mergeCell ref="A11:F11"/>
    <mergeCell ref="G7:L7"/>
    <mergeCell ref="G11:L11"/>
    <mergeCell ref="E25:L25"/>
    <mergeCell ref="K18:L18"/>
    <mergeCell ref="G56:H56"/>
    <mergeCell ref="D13:F13"/>
    <mergeCell ref="G52:H52"/>
    <mergeCell ref="A18:B18"/>
    <mergeCell ref="D15:F15"/>
    <mergeCell ref="H19:J19"/>
    <mergeCell ref="C23:E23"/>
    <mergeCell ref="G62:I62"/>
    <mergeCell ref="K113:L113"/>
    <mergeCell ref="F150:L150"/>
    <mergeCell ref="I30:J30"/>
    <mergeCell ref="G59:H59"/>
    <mergeCell ref="G141:I141"/>
    <mergeCell ref="C112:E112"/>
    <mergeCell ref="G10:L10"/>
    <mergeCell ref="I46:J46"/>
    <mergeCell ref="F19:G19"/>
    <mergeCell ref="C22:E22"/>
    <mergeCell ref="A75:L75"/>
    <mergeCell ref="J88:K88"/>
    <mergeCell ref="A80:L80"/>
    <mergeCell ref="C114:E114"/>
    <mergeCell ref="A12:C12"/>
    <mergeCell ref="G125:H125"/>
    <mergeCell ref="I125:J125"/>
    <mergeCell ref="I112:J112"/>
    <mergeCell ref="G112:H112"/>
    <mergeCell ref="G127:H127"/>
    <mergeCell ref="I127:J127"/>
    <mergeCell ref="C125:E125"/>
    <mergeCell ref="I114:J114"/>
    <mergeCell ref="I111:J111"/>
    <mergeCell ref="J94:K94"/>
    <mergeCell ref="F20:G20"/>
    <mergeCell ref="F18:G18"/>
    <mergeCell ref="A92:G92"/>
    <mergeCell ref="E40:F40"/>
    <mergeCell ref="I56:J56"/>
    <mergeCell ref="A4:L4"/>
    <mergeCell ref="G49:H49"/>
    <mergeCell ref="A81:L81"/>
    <mergeCell ref="B36:D36"/>
    <mergeCell ref="A13:C13"/>
    <mergeCell ref="A43:L43"/>
    <mergeCell ref="B45:D45"/>
    <mergeCell ref="A19:B19"/>
    <mergeCell ref="B53:D53"/>
    <mergeCell ref="B44:D44"/>
    <mergeCell ref="C21:E21"/>
    <mergeCell ref="I26:J26"/>
    <mergeCell ref="K26:L26"/>
    <mergeCell ref="B34:D34"/>
    <mergeCell ref="B28:D28"/>
    <mergeCell ref="B37:D37"/>
    <mergeCell ref="E44:L44"/>
    <mergeCell ref="A71:L71"/>
    <mergeCell ref="H22:J22"/>
    <mergeCell ref="B141:D141"/>
    <mergeCell ref="A24:L24"/>
    <mergeCell ref="B59:D59"/>
    <mergeCell ref="J14:L14"/>
    <mergeCell ref="A73:L73"/>
    <mergeCell ref="B31:D31"/>
    <mergeCell ref="G16:H16"/>
    <mergeCell ref="K19:L19"/>
    <mergeCell ref="I59:J59"/>
    <mergeCell ref="K124:L124"/>
    <mergeCell ref="B39:D39"/>
    <mergeCell ref="B48:D48"/>
    <mergeCell ref="D16:F16"/>
    <mergeCell ref="F21:G21"/>
    <mergeCell ref="F22:G22"/>
    <mergeCell ref="K23:L23"/>
    <mergeCell ref="A23:B23"/>
    <mergeCell ref="B25:D25"/>
    <mergeCell ref="G48:H48"/>
    <mergeCell ref="K21:L21"/>
    <mergeCell ref="A93:G93"/>
    <mergeCell ref="I57:J57"/>
    <mergeCell ref="E38:F38"/>
    <mergeCell ref="A78:E78"/>
    <mergeCell ref="G115:H115"/>
    <mergeCell ref="I124:J124"/>
    <mergeCell ref="A109:D109"/>
    <mergeCell ref="I45:J45"/>
    <mergeCell ref="I116:J116"/>
    <mergeCell ref="K45:L45"/>
    <mergeCell ref="F151:L151"/>
    <mergeCell ref="E39:F39"/>
    <mergeCell ref="G126:H126"/>
    <mergeCell ref="G39:H39"/>
    <mergeCell ref="I126:J126"/>
    <mergeCell ref="A65:L66"/>
    <mergeCell ref="G51:H51"/>
    <mergeCell ref="I51:J51"/>
    <mergeCell ref="G54:H54"/>
    <mergeCell ref="E41:F41"/>
    <mergeCell ref="G41:H41"/>
    <mergeCell ref="A61:L61"/>
    <mergeCell ref="G50:H50"/>
    <mergeCell ref="K128:L128"/>
    <mergeCell ref="I50:J50"/>
    <mergeCell ref="A70:L70"/>
    <mergeCell ref="A67:B67"/>
    <mergeCell ref="K120:L120"/>
    <mergeCell ref="A151:C151"/>
    <mergeCell ref="K126:L126"/>
    <mergeCell ref="I47:J47"/>
    <mergeCell ref="E29:F29"/>
    <mergeCell ref="G116:H116"/>
    <mergeCell ref="B49:D49"/>
    <mergeCell ref="A8:F8"/>
    <mergeCell ref="G37:H37"/>
    <mergeCell ref="A150:C150"/>
    <mergeCell ref="I37:J37"/>
    <mergeCell ref="K46:L46"/>
    <mergeCell ref="K111:L111"/>
    <mergeCell ref="B51:D51"/>
    <mergeCell ref="A21:B21"/>
    <mergeCell ref="A10:F10"/>
    <mergeCell ref="H18:J18"/>
    <mergeCell ref="E46:F46"/>
    <mergeCell ref="B41:D41"/>
    <mergeCell ref="G15:H15"/>
    <mergeCell ref="B35:D35"/>
    <mergeCell ref="B50:D50"/>
    <mergeCell ref="G60:L60"/>
    <mergeCell ref="G9:L9"/>
    <mergeCell ref="F149:L149"/>
    <mergeCell ref="C124:E124"/>
    <mergeCell ref="A64:E64"/>
    <mergeCell ref="G13:L13"/>
    <mergeCell ref="G27:H27"/>
    <mergeCell ref="I49:J49"/>
    <mergeCell ref="G120:H120"/>
    <mergeCell ref="I27:J27"/>
    <mergeCell ref="I120:J120"/>
    <mergeCell ref="A72:G72"/>
    <mergeCell ref="A74:L74"/>
    <mergeCell ref="K114:L114"/>
    <mergeCell ref="B29:D29"/>
    <mergeCell ref="B38:D38"/>
    <mergeCell ref="I113:J113"/>
    <mergeCell ref="K20:L20"/>
    <mergeCell ref="A76:L76"/>
    <mergeCell ref="B40:D40"/>
    <mergeCell ref="G53:H53"/>
    <mergeCell ref="G28:H28"/>
    <mergeCell ref="I53:J53"/>
    <mergeCell ref="I28:J28"/>
    <mergeCell ref="E60:F60"/>
    <mergeCell ref="K22:L22"/>
    <mergeCell ref="B55:D55"/>
    <mergeCell ref="A143:L143"/>
    <mergeCell ref="I48:J48"/>
    <mergeCell ref="G55:H55"/>
    <mergeCell ref="G29:H29"/>
    <mergeCell ref="A20:B20"/>
    <mergeCell ref="A142:C142"/>
    <mergeCell ref="I29:J29"/>
    <mergeCell ref="I38:J38"/>
    <mergeCell ref="G47:H47"/>
    <mergeCell ref="K125:L125"/>
    <mergeCell ref="K127:L127"/>
    <mergeCell ref="A140:L140"/>
    <mergeCell ref="I115:J115"/>
    <mergeCell ref="B33:D33"/>
    <mergeCell ref="E30:F30"/>
    <mergeCell ref="G30:H30"/>
    <mergeCell ref="A68:L68"/>
    <mergeCell ref="I55:J55"/>
    <mergeCell ref="B32:D32"/>
    <mergeCell ref="H23:J23"/>
    <mergeCell ref="G124:H124"/>
    <mergeCell ref="B26:D26"/>
    <mergeCell ref="E45:F45"/>
    <mergeCell ref="G45:H45"/>
    <mergeCell ref="A1:L1"/>
    <mergeCell ref="K112:L112"/>
    <mergeCell ref="B58:D58"/>
    <mergeCell ref="E37:F37"/>
    <mergeCell ref="B52:D52"/>
    <mergeCell ref="G46:H46"/>
    <mergeCell ref="G40:H40"/>
    <mergeCell ref="G111:H111"/>
    <mergeCell ref="I40:J40"/>
    <mergeCell ref="J15:L16"/>
    <mergeCell ref="C19:E19"/>
    <mergeCell ref="I39:J39"/>
    <mergeCell ref="A2:L2"/>
    <mergeCell ref="E26:F26"/>
    <mergeCell ref="G12:L12"/>
    <mergeCell ref="B47:D47"/>
    <mergeCell ref="G26:H26"/>
    <mergeCell ref="H20:J20"/>
    <mergeCell ref="A3:L3"/>
    <mergeCell ref="G14:I14"/>
    <mergeCell ref="I54:J54"/>
    <mergeCell ref="G38:H38"/>
    <mergeCell ref="A5:L5"/>
    <mergeCell ref="I41:J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>
      <selection activeCell="D6" sqref="D6"/>
    </sheetView>
  </sheetViews>
  <sheetFormatPr defaultRowHeight="15"/>
  <cols>
    <col min="1" max="1" width="18" bestFit="1" customWidth="1"/>
  </cols>
  <sheetData>
    <row r="1" spans="1:2">
      <c r="A1" t="s">
        <v>149</v>
      </c>
      <c r="B1" t="s">
        <v>150</v>
      </c>
    </row>
    <row r="2" spans="1:2">
      <c r="A2" t="s">
        <v>151</v>
      </c>
      <c r="B2">
        <v>0</v>
      </c>
    </row>
    <row r="3" spans="1:2">
      <c r="A3" t="s">
        <v>152</v>
      </c>
      <c r="B3">
        <v>0</v>
      </c>
    </row>
    <row r="4" spans="1:2">
      <c r="A4" t="s">
        <v>153</v>
      </c>
      <c r="B4">
        <v>0</v>
      </c>
    </row>
    <row r="5" spans="1:2">
      <c r="A5" t="s">
        <v>154</v>
      </c>
      <c r="B5">
        <v>0</v>
      </c>
    </row>
    <row r="6" spans="1:2">
      <c r="A6" t="s">
        <v>155</v>
      </c>
      <c r="B6">
        <v>0</v>
      </c>
    </row>
    <row r="7" spans="1:2">
      <c r="A7" t="s">
        <v>156</v>
      </c>
      <c r="B7">
        <v>0</v>
      </c>
    </row>
    <row r="8" spans="1:2">
      <c r="A8" t="s">
        <v>158</v>
      </c>
    </row>
    <row r="9" spans="1:2">
      <c r="A9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__CALC__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Kadam</dc:creator>
  <cp:lastModifiedBy>Pratik Kadam</cp:lastModifiedBy>
  <dcterms:created xsi:type="dcterms:W3CDTF">2025-12-19T06:35:31Z</dcterms:created>
  <dcterms:modified xsi:type="dcterms:W3CDTF">2025-12-20T10:42:57Z</dcterms:modified>
</cp:coreProperties>
</file>